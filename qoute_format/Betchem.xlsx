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20" windowWidth="18960" windowHeight="11020"/>
  </bookViews>
  <sheets>
    <sheet name="DH Geda" sheetId="2" r:id="rId1"/>
    <sheet name="PI" sheetId="1" r:id="rId2"/>
  </sheets>
  <calcPr calcId="144525"/>
</workbook>
</file>

<file path=xl/calcChain.xml><?xml version="1.0" encoding="utf-8"?>
<calcChain xmlns="http://schemas.openxmlformats.org/spreadsheetml/2006/main">
  <c r="F8" i="2" l="1"/>
  <c r="F12" i="2" l="1"/>
  <c r="F13" i="2" s="1"/>
  <c r="F14" i="2" s="1"/>
  <c r="F14" i="1"/>
  <c r="F13" i="1"/>
  <c r="F12" i="1"/>
  <c r="F9" i="1"/>
  <c r="F8" i="1"/>
</calcChain>
</file>

<file path=xl/sharedStrings.xml><?xml version="1.0" encoding="utf-8"?>
<sst xmlns="http://schemas.openxmlformats.org/spreadsheetml/2006/main" count="38" uniqueCount="23">
  <si>
    <r>
      <rPr>
        <sz val="13.5"/>
        <color rgb="FFFFFFFF"/>
        <rFont val="Arial MT"/>
        <family val="2"/>
      </rPr>
      <t xml:space="preserve">Betchem Ethiopia Trading Plc
</t>
    </r>
    <r>
      <rPr>
        <sz val="12"/>
        <color rgb="FFFFFFFF"/>
        <rFont val="Arial MT"/>
        <family val="2"/>
      </rPr>
      <t xml:space="preserve">Chemical Wholesals and Distributor
</t>
    </r>
    <r>
      <rPr>
        <sz val="8.5"/>
        <color rgb="FFFFFFFF"/>
        <rFont val="Arial MT"/>
        <family val="2"/>
      </rPr>
      <t>Addis Ababa, Sub-City - Kirkos Wereda 05 H.Number 217B</t>
    </r>
  </si>
  <si>
    <t>PROFORMA INVOICE</t>
  </si>
  <si>
    <t>HPMC</t>
  </si>
  <si>
    <t>RDP</t>
  </si>
  <si>
    <t xml:space="preserve">
Saint-Gobain Weber Manufacuting PLC</t>
  </si>
  <si>
    <r>
      <rPr>
        <b/>
        <sz val="10"/>
        <color rgb="FFFFFFFF"/>
        <rFont val="Arial"/>
        <family val="2"/>
      </rPr>
      <t>No</t>
    </r>
  </si>
  <si>
    <r>
      <rPr>
        <b/>
        <sz val="10"/>
        <color rgb="FFFFFFFF"/>
        <rFont val="Arial"/>
        <family val="2"/>
      </rPr>
      <t>Description</t>
    </r>
  </si>
  <si>
    <r>
      <rPr>
        <b/>
        <sz val="10"/>
        <color rgb="FFFFFFFF"/>
        <rFont val="Arial"/>
        <family val="2"/>
      </rPr>
      <t>UoM</t>
    </r>
  </si>
  <si>
    <r>
      <rPr>
        <b/>
        <sz val="10"/>
        <color rgb="FFFFFFFF"/>
        <rFont val="Arial"/>
        <family val="2"/>
      </rPr>
      <t>Quantity</t>
    </r>
  </si>
  <si>
    <r>
      <rPr>
        <b/>
        <sz val="10"/>
        <color rgb="FFFFFFFF"/>
        <rFont val="Arial"/>
        <family val="2"/>
      </rPr>
      <t>Total Price
Before VAT</t>
    </r>
  </si>
  <si>
    <r>
      <rPr>
        <sz val="10"/>
        <rFont val="Arial MT"/>
        <family val="2"/>
      </rPr>
      <t>KG</t>
    </r>
  </si>
  <si>
    <r>
      <rPr>
        <sz val="10"/>
        <rFont val="Arial MT"/>
        <family val="2"/>
      </rPr>
      <t>Sub Total Before VAT</t>
    </r>
  </si>
  <si>
    <r>
      <rPr>
        <sz val="10"/>
        <rFont val="Arial MT"/>
        <family val="2"/>
      </rPr>
      <t>Grand Total Inc VAT</t>
    </r>
  </si>
  <si>
    <t>PI Invoice #      BET - 2024/10</t>
  </si>
  <si>
    <r>
      <rPr>
        <b/>
        <sz val="10"/>
        <rFont val="Times New Roman"/>
        <family val="1"/>
      </rPr>
      <t>Date:</t>
    </r>
    <r>
      <rPr>
        <sz val="10"/>
        <rFont val="Times New Roman"/>
        <family val="1"/>
      </rPr>
      <t xml:space="preserve">                  25-09-24</t>
    </r>
    <r>
      <rPr>
        <b/>
        <sz val="7.5"/>
        <rFont val="Arial"/>
        <family val="2"/>
      </rPr>
      <t/>
    </r>
  </si>
  <si>
    <t>Unit Price Before Vat</t>
  </si>
  <si>
    <t>VAT</t>
  </si>
  <si>
    <r>
      <t xml:space="preserve">Bank Detail
</t>
    </r>
    <r>
      <rPr>
        <vertAlign val="superscript"/>
        <sz val="10"/>
        <rFont val="Arial MT"/>
      </rPr>
      <t xml:space="preserve">Name of Account:                                                   </t>
    </r>
    <r>
      <rPr>
        <sz val="10"/>
        <rFont val="Arial MT"/>
      </rPr>
      <t xml:space="preserve">Betchem Ethiopia Trading Plc
</t>
    </r>
    <r>
      <rPr>
        <vertAlign val="superscript"/>
        <sz val="10"/>
        <rFont val="Arial MT"/>
      </rPr>
      <t xml:space="preserve">Bank Name:                                                            </t>
    </r>
    <r>
      <rPr>
        <sz val="10"/>
        <rFont val="Arial MT"/>
      </rPr>
      <t xml:space="preserve">Dashen Bank
</t>
    </r>
    <r>
      <rPr>
        <vertAlign val="superscript"/>
        <sz val="10"/>
        <rFont val="Arial MT"/>
      </rPr>
      <t xml:space="preserve">Account Number:                                                    </t>
    </r>
    <r>
      <rPr>
        <sz val="10"/>
        <rFont val="Arial MT"/>
      </rPr>
      <t xml:space="preserve">7981270743711
</t>
    </r>
    <r>
      <rPr>
        <vertAlign val="superscript"/>
        <sz val="10"/>
        <rFont val="Arial MT"/>
      </rPr>
      <t xml:space="preserve">Branch Name:                                                         </t>
    </r>
    <r>
      <rPr>
        <sz val="10"/>
        <rFont val="Arial MT"/>
      </rPr>
      <t>Bulgaria</t>
    </r>
  </si>
  <si>
    <t xml:space="preserve">Payment :                                                                                   upon Delivery
</t>
  </si>
  <si>
    <r>
      <rPr>
        <b/>
        <sz val="10"/>
        <rFont val="Times New Roman"/>
        <family val="1"/>
      </rPr>
      <t>Date:</t>
    </r>
    <r>
      <rPr>
        <sz val="10"/>
        <rFont val="Times New Roman"/>
        <family val="1"/>
      </rPr>
      <t xml:space="preserve">                  15-12-25</t>
    </r>
  </si>
  <si>
    <t>Saint-Gobain Weber Manufacuting PLC</t>
  </si>
  <si>
    <t>PI Invoice #      BET - 2025/27</t>
  </si>
  <si>
    <t xml:space="preserve">Terms and conditions:
- For items currently in stock, the advance payment is 100 %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</si>
</sst>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0">
    <font>
      <sz val="10"/>
      <color rgb="FF000000"/>
      <name val="Times New Roman"/>
      <charset val="204"/>
    </font>
    <font>
      <sz val="13.5"/>
      <color rgb="FFFFFFFF"/>
      <name val="Arial MT"/>
      <family val="2"/>
    </font>
    <font>
      <sz val="12"/>
      <color rgb="FFFFFFFF"/>
      <name val="Arial MT"/>
      <family val="2"/>
    </font>
    <font>
      <sz val="8.5"/>
      <color rgb="FFFFFFFF"/>
      <name val="Arial MT"/>
      <family val="2"/>
    </font>
    <font>
      <b/>
      <i/>
      <sz val="8.5"/>
      <color rgb="FF72425D"/>
      <name val="Arial"/>
      <family val="2"/>
    </font>
    <font>
      <b/>
      <sz val="7.5"/>
      <name val="Arial"/>
      <family val="2"/>
    </font>
    <font>
      <sz val="10"/>
      <name val="Arial MT"/>
      <family val="2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 MT"/>
    </font>
    <font>
      <vertAlign val="superscript"/>
      <sz val="10"/>
      <name val="Arial MT"/>
    </font>
    <font>
      <sz val="10"/>
      <color rgb="FF000000"/>
      <name val="Times New Roman"/>
      <family val="1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 MT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color rgb="FFFFFFFF"/>
      <name val="Arial MT"/>
      <family val="2"/>
    </font>
    <font>
      <b/>
      <sz val="10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72425D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5">
    <xf numFmtId="0" fontId="0" fillId="0" borderId="0" xfId="0" applyFill="1" applyBorder="1" applyAlignment="1">
      <alignment horizontal="left" vertical="top"/>
    </xf>
    <xf numFmtId="0" fontId="12" fillId="0" borderId="0" xfId="0" applyFont="1" applyFill="1" applyBorder="1" applyAlignment="1">
      <alignment horizontal="left" vertical="top"/>
    </xf>
    <xf numFmtId="1" fontId="15" fillId="0" borderId="2" xfId="0" applyNumberFormat="1" applyFont="1" applyFill="1" applyBorder="1" applyAlignment="1">
      <alignment horizontal="center" vertical="top" shrinkToFit="1"/>
    </xf>
    <xf numFmtId="0" fontId="6" fillId="0" borderId="2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horizontal="center" vertical="top" wrapText="1"/>
    </xf>
    <xf numFmtId="4" fontId="15" fillId="0" borderId="2" xfId="0" applyNumberFormat="1" applyFont="1" applyFill="1" applyBorder="1" applyAlignment="1">
      <alignment horizontal="center" vertical="top" shrinkToFit="1"/>
    </xf>
    <xf numFmtId="2" fontId="15" fillId="0" borderId="1" xfId="0" applyNumberFormat="1" applyFont="1" applyFill="1" applyBorder="1" applyAlignment="1">
      <alignment horizontal="center" vertical="top" shrinkToFit="1"/>
    </xf>
    <xf numFmtId="43" fontId="15" fillId="0" borderId="1" xfId="1" applyFont="1" applyFill="1" applyBorder="1" applyAlignment="1">
      <alignment horizontal="center" vertical="top" shrinkToFit="1"/>
    </xf>
    <xf numFmtId="2" fontId="15" fillId="0" borderId="2" xfId="0" applyNumberFormat="1" applyFont="1" applyFill="1" applyBorder="1" applyAlignment="1">
      <alignment horizontal="center" vertical="top" shrinkToFit="1"/>
    </xf>
    <xf numFmtId="0" fontId="10" fillId="0" borderId="6" xfId="0" applyFont="1" applyFill="1" applyBorder="1" applyAlignment="1">
      <alignment horizontal="center" vertical="top"/>
    </xf>
    <xf numFmtId="0" fontId="10" fillId="0" borderId="7" xfId="0" applyFont="1" applyFill="1" applyBorder="1" applyAlignment="1">
      <alignment horizontal="center" vertical="top" wrapText="1"/>
    </xf>
    <xf numFmtId="43" fontId="10" fillId="0" borderId="8" xfId="0" applyNumberFormat="1" applyFont="1" applyFill="1" applyBorder="1" applyAlignment="1">
      <alignment horizontal="center" vertical="top" wrapText="1"/>
    </xf>
    <xf numFmtId="43" fontId="10" fillId="0" borderId="9" xfId="0" applyNumberFormat="1" applyFont="1" applyFill="1" applyBorder="1" applyAlignment="1">
      <alignment horizontal="center" vertical="top" wrapText="1"/>
    </xf>
    <xf numFmtId="43" fontId="10" fillId="0" borderId="10" xfId="0" applyNumberFormat="1" applyFont="1" applyFill="1" applyBorder="1" applyAlignment="1">
      <alignment horizontal="center" vertical="top" wrapText="1"/>
    </xf>
    <xf numFmtId="0" fontId="16" fillId="0" borderId="0" xfId="0" applyFont="1" applyFill="1" applyBorder="1" applyAlignment="1">
      <alignment horizontal="left" vertical="top"/>
    </xf>
    <xf numFmtId="1" fontId="15" fillId="0" borderId="15" xfId="0" applyNumberFormat="1" applyFont="1" applyFill="1" applyBorder="1" applyAlignment="1">
      <alignment horizontal="center" vertical="top" shrinkToFit="1"/>
    </xf>
    <xf numFmtId="0" fontId="6" fillId="0" borderId="15" xfId="0" applyFont="1" applyFill="1" applyBorder="1" applyAlignment="1">
      <alignment horizontal="center" vertical="top" wrapText="1"/>
    </xf>
    <xf numFmtId="0" fontId="10" fillId="0" borderId="15" xfId="0" applyFont="1" applyFill="1" applyBorder="1" applyAlignment="1">
      <alignment horizontal="center" vertical="top" wrapText="1"/>
    </xf>
    <xf numFmtId="4" fontId="15" fillId="0" borderId="15" xfId="0" applyNumberFormat="1" applyFont="1" applyFill="1" applyBorder="1" applyAlignment="1">
      <alignment horizontal="center" vertical="top" shrinkToFit="1"/>
    </xf>
    <xf numFmtId="2" fontId="15" fillId="0" borderId="10" xfId="0" applyNumberFormat="1" applyFont="1" applyFill="1" applyBorder="1" applyAlignment="1">
      <alignment horizontal="center" vertical="top" shrinkToFit="1"/>
    </xf>
    <xf numFmtId="43" fontId="15" fillId="0" borderId="10" xfId="1" applyFont="1" applyFill="1" applyBorder="1" applyAlignment="1">
      <alignment horizontal="center" vertical="top" shrinkToFit="1"/>
    </xf>
    <xf numFmtId="0" fontId="13" fillId="2" borderId="14" xfId="0" applyFont="1" applyFill="1" applyBorder="1" applyAlignment="1">
      <alignment horizontal="center" vertical="top" wrapText="1"/>
    </xf>
    <xf numFmtId="0" fontId="17" fillId="2" borderId="14" xfId="0" applyFont="1" applyFill="1" applyBorder="1" applyAlignment="1">
      <alignment horizontal="center" vertical="top" wrapText="1"/>
    </xf>
    <xf numFmtId="0" fontId="16" fillId="2" borderId="14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8" fillId="0" borderId="11" xfId="0" applyFont="1" applyFill="1" applyBorder="1" applyAlignment="1">
      <alignment horizontal="left" vertical="top" wrapText="1"/>
    </xf>
    <xf numFmtId="0" fontId="12" fillId="0" borderId="12" xfId="0" applyFont="1" applyFill="1" applyBorder="1" applyAlignment="1">
      <alignment horizontal="left" vertical="top" wrapText="1"/>
    </xf>
    <xf numFmtId="0" fontId="12" fillId="0" borderId="13" xfId="0" applyFont="1" applyFill="1" applyBorder="1" applyAlignment="1">
      <alignment horizontal="left" vertical="top" wrapText="1"/>
    </xf>
    <xf numFmtId="0" fontId="10" fillId="0" borderId="11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18" fillId="2" borderId="0" xfId="0" applyFont="1" applyFill="1" applyBorder="1" applyAlignment="1">
      <alignment horizontal="center" vertical="top" wrapText="1"/>
    </xf>
    <xf numFmtId="0" fontId="0" fillId="2" borderId="0" xfId="0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12" fillId="0" borderId="3" xfId="0" applyFont="1" applyFill="1" applyBorder="1" applyAlignment="1">
      <alignment horizontal="left" vertical="top" wrapText="1"/>
    </xf>
    <xf numFmtId="0" fontId="12" fillId="0" borderId="4" xfId="0" applyFont="1" applyFill="1" applyBorder="1" applyAlignment="1">
      <alignment horizontal="left" vertical="top" wrapText="1"/>
    </xf>
    <xf numFmtId="0" fontId="12" fillId="0" borderId="5" xfId="0" applyFont="1" applyFill="1" applyBorder="1" applyAlignment="1">
      <alignment horizontal="left" vertical="top" wrapText="1"/>
    </xf>
    <xf numFmtId="0" fontId="12" fillId="0" borderId="6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0" fontId="12" fillId="0" borderId="7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view="pageLayout" zoomScaleNormal="100" workbookViewId="0">
      <selection activeCell="I5" sqref="I5"/>
    </sheetView>
  </sheetViews>
  <sheetFormatPr defaultRowHeight="22" customHeight="1"/>
  <cols>
    <col min="1" max="1" width="6.296875" customWidth="1"/>
    <col min="2" max="2" width="33" customWidth="1"/>
    <col min="3" max="3" width="15" customWidth="1"/>
    <col min="4" max="4" width="22.5" bestFit="1" customWidth="1"/>
    <col min="5" max="5" width="13.69921875" customWidth="1"/>
    <col min="6" max="6" width="20.796875" bestFit="1" customWidth="1"/>
  </cols>
  <sheetData>
    <row r="1" spans="1:6" ht="60.75" customHeight="1">
      <c r="A1" s="31" t="s">
        <v>0</v>
      </c>
      <c r="B1" s="32"/>
      <c r="C1" s="32"/>
      <c r="D1" s="32"/>
      <c r="E1" s="32"/>
      <c r="F1" s="32"/>
    </row>
    <row r="2" spans="1:6" ht="27" customHeight="1">
      <c r="A2" s="33" t="s">
        <v>1</v>
      </c>
      <c r="B2" s="33"/>
      <c r="C2" s="33"/>
      <c r="D2" s="33"/>
      <c r="E2" s="33"/>
      <c r="F2" s="33"/>
    </row>
    <row r="4" spans="1:6" ht="22" customHeight="1">
      <c r="A4" s="34" t="s">
        <v>20</v>
      </c>
      <c r="B4" s="34"/>
      <c r="C4" s="34"/>
      <c r="D4" s="34"/>
      <c r="E4" s="35" t="s">
        <v>19</v>
      </c>
      <c r="F4" s="35"/>
    </row>
    <row r="5" spans="1:6" ht="22" customHeight="1">
      <c r="A5" s="34"/>
      <c r="B5" s="34"/>
      <c r="C5" s="34"/>
      <c r="D5" s="34"/>
      <c r="E5" s="36" t="s">
        <v>21</v>
      </c>
      <c r="F5" s="37"/>
    </row>
    <row r="7" spans="1:6" s="14" customFormat="1" ht="28.5" customHeight="1">
      <c r="A7" s="21" t="s">
        <v>5</v>
      </c>
      <c r="B7" s="21" t="s">
        <v>6</v>
      </c>
      <c r="C7" s="21" t="s">
        <v>7</v>
      </c>
      <c r="D7" s="21" t="s">
        <v>8</v>
      </c>
      <c r="E7" s="22" t="s">
        <v>15</v>
      </c>
      <c r="F7" s="23" t="s">
        <v>9</v>
      </c>
    </row>
    <row r="8" spans="1:6" s="1" customFormat="1" ht="22" customHeight="1">
      <c r="A8" s="15">
        <v>1</v>
      </c>
      <c r="B8" s="16" t="s">
        <v>3</v>
      </c>
      <c r="C8" s="17" t="s">
        <v>10</v>
      </c>
      <c r="D8" s="18">
        <v>1000</v>
      </c>
      <c r="E8" s="19">
        <v>720</v>
      </c>
      <c r="F8" s="20">
        <f>D8*E8</f>
        <v>720000</v>
      </c>
    </row>
    <row r="9" spans="1:6" s="1" customFormat="1" ht="22" customHeight="1">
      <c r="A9" s="2"/>
      <c r="B9" s="3"/>
      <c r="C9" s="4"/>
      <c r="D9" s="5"/>
      <c r="E9" s="6"/>
      <c r="F9" s="7"/>
    </row>
    <row r="10" spans="1:6" s="1" customFormat="1" ht="22" customHeight="1">
      <c r="A10" s="2"/>
      <c r="B10" s="4"/>
      <c r="C10" s="4"/>
      <c r="D10" s="8"/>
      <c r="E10" s="6"/>
      <c r="F10" s="4"/>
    </row>
    <row r="11" spans="1:6" s="1" customFormat="1" ht="22" customHeight="1">
      <c r="A11" s="2"/>
      <c r="B11" s="4"/>
      <c r="C11" s="4"/>
      <c r="D11" s="5"/>
      <c r="E11" s="6"/>
      <c r="F11" s="4"/>
    </row>
    <row r="12" spans="1:6" s="1" customFormat="1" ht="22" customHeight="1">
      <c r="A12" s="38"/>
      <c r="B12" s="41"/>
      <c r="C12" s="41"/>
      <c r="D12" s="9" t="s">
        <v>11</v>
      </c>
      <c r="E12" s="41"/>
      <c r="F12" s="11">
        <f>F8+F9</f>
        <v>720000</v>
      </c>
    </row>
    <row r="13" spans="1:6" s="1" customFormat="1" ht="22" customHeight="1">
      <c r="A13" s="39"/>
      <c r="B13" s="42"/>
      <c r="C13" s="42"/>
      <c r="D13" s="24" t="s">
        <v>16</v>
      </c>
      <c r="E13" s="42"/>
      <c r="F13" s="12">
        <f>F12*0.15</f>
        <v>108000</v>
      </c>
    </row>
    <row r="14" spans="1:6" s="1" customFormat="1" ht="22" customHeight="1">
      <c r="A14" s="40"/>
      <c r="B14" s="43"/>
      <c r="C14" s="43"/>
      <c r="D14" s="10" t="s">
        <v>12</v>
      </c>
      <c r="E14" s="43"/>
      <c r="F14" s="13">
        <f>F12+F13</f>
        <v>828000</v>
      </c>
    </row>
    <row r="15" spans="1:6" ht="22" customHeight="1" thickBot="1"/>
    <row r="16" spans="1:6" ht="45" customHeight="1" thickBot="1">
      <c r="A16" s="25" t="s">
        <v>22</v>
      </c>
      <c r="B16" s="26"/>
      <c r="C16" s="26"/>
      <c r="D16" s="26"/>
      <c r="E16" s="26"/>
      <c r="F16" s="27"/>
    </row>
    <row r="17" spans="1:6" ht="22" customHeight="1" thickBot="1"/>
    <row r="18" spans="1:6" ht="94.5" customHeight="1" thickBot="1">
      <c r="A18" s="28" t="s">
        <v>17</v>
      </c>
      <c r="B18" s="29"/>
      <c r="C18" s="29"/>
      <c r="D18" s="29"/>
      <c r="E18" s="29"/>
      <c r="F18" s="30"/>
    </row>
  </sheetData>
  <mergeCells count="11">
    <mergeCell ref="A16:F16"/>
    <mergeCell ref="A18:F18"/>
    <mergeCell ref="A1:F1"/>
    <mergeCell ref="A2:F2"/>
    <mergeCell ref="A4:D5"/>
    <mergeCell ref="E4:F4"/>
    <mergeCell ref="E5:F5"/>
    <mergeCell ref="A12:A14"/>
    <mergeCell ref="B12:B14"/>
    <mergeCell ref="C12:C14"/>
    <mergeCell ref="E12:E14"/>
  </mergeCells>
  <pageMargins left="0.30208333333333331" right="0.33333333333333331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view="pageLayout" topLeftCell="A16" zoomScaleNormal="100" workbookViewId="0">
      <selection sqref="A1:F1"/>
    </sheetView>
  </sheetViews>
  <sheetFormatPr defaultRowHeight="22" customHeight="1"/>
  <cols>
    <col min="1" max="1" width="6.296875" customWidth="1"/>
    <col min="2" max="2" width="33" customWidth="1"/>
    <col min="3" max="3" width="15" customWidth="1"/>
    <col min="4" max="4" width="22.5" bestFit="1" customWidth="1"/>
    <col min="5" max="5" width="13.69921875" customWidth="1"/>
    <col min="6" max="6" width="20.796875" bestFit="1" customWidth="1"/>
  </cols>
  <sheetData>
    <row r="1" spans="1:6" ht="60.75" customHeight="1">
      <c r="A1" s="31" t="s">
        <v>0</v>
      </c>
      <c r="B1" s="32"/>
      <c r="C1" s="32"/>
      <c r="D1" s="32"/>
      <c r="E1" s="32"/>
      <c r="F1" s="32"/>
    </row>
    <row r="2" spans="1:6" ht="27" customHeight="1">
      <c r="A2" s="33" t="s">
        <v>1</v>
      </c>
      <c r="B2" s="33"/>
      <c r="C2" s="33"/>
      <c r="D2" s="33"/>
      <c r="E2" s="33"/>
      <c r="F2" s="33"/>
    </row>
    <row r="4" spans="1:6" ht="22" customHeight="1">
      <c r="A4" s="34" t="s">
        <v>4</v>
      </c>
      <c r="B4" s="34"/>
      <c r="C4" s="34"/>
      <c r="D4" s="34"/>
      <c r="E4" s="35" t="s">
        <v>14</v>
      </c>
      <c r="F4" s="35"/>
    </row>
    <row r="5" spans="1:6" ht="22" customHeight="1">
      <c r="A5" s="34"/>
      <c r="B5" s="34"/>
      <c r="C5" s="34"/>
      <c r="D5" s="34"/>
      <c r="E5" s="44" t="s">
        <v>13</v>
      </c>
      <c r="F5" s="37"/>
    </row>
    <row r="7" spans="1:6" s="14" customFormat="1" ht="28.5" customHeight="1">
      <c r="A7" s="21" t="s">
        <v>5</v>
      </c>
      <c r="B7" s="21" t="s">
        <v>6</v>
      </c>
      <c r="C7" s="21" t="s">
        <v>7</v>
      </c>
      <c r="D7" s="21" t="s">
        <v>8</v>
      </c>
      <c r="E7" s="22" t="s">
        <v>15</v>
      </c>
      <c r="F7" s="23" t="s">
        <v>9</v>
      </c>
    </row>
    <row r="8" spans="1:6" s="1" customFormat="1" ht="22" customHeight="1">
      <c r="A8" s="15">
        <v>1</v>
      </c>
      <c r="B8" s="16" t="s">
        <v>2</v>
      </c>
      <c r="C8" s="17" t="s">
        <v>10</v>
      </c>
      <c r="D8" s="18">
        <v>1000</v>
      </c>
      <c r="E8" s="19">
        <v>737</v>
      </c>
      <c r="F8" s="20">
        <f>D8*E8</f>
        <v>737000</v>
      </c>
    </row>
    <row r="9" spans="1:6" s="1" customFormat="1" ht="22" customHeight="1">
      <c r="A9" s="2">
        <v>2</v>
      </c>
      <c r="B9" s="3" t="s">
        <v>3</v>
      </c>
      <c r="C9" s="4" t="s">
        <v>10</v>
      </c>
      <c r="D9" s="5">
        <v>1000</v>
      </c>
      <c r="E9" s="6">
        <v>513</v>
      </c>
      <c r="F9" s="7">
        <f>D9*E9</f>
        <v>513000</v>
      </c>
    </row>
    <row r="10" spans="1:6" s="1" customFormat="1" ht="22" customHeight="1">
      <c r="A10" s="2"/>
      <c r="B10" s="4"/>
      <c r="C10" s="4"/>
      <c r="D10" s="8"/>
      <c r="E10" s="6"/>
      <c r="F10" s="4"/>
    </row>
    <row r="11" spans="1:6" s="1" customFormat="1" ht="22" customHeight="1">
      <c r="A11" s="2"/>
      <c r="B11" s="4"/>
      <c r="C11" s="4"/>
      <c r="D11" s="5"/>
      <c r="E11" s="6"/>
      <c r="F11" s="4"/>
    </row>
    <row r="12" spans="1:6" s="1" customFormat="1" ht="22" customHeight="1">
      <c r="A12" s="38"/>
      <c r="B12" s="41"/>
      <c r="C12" s="41"/>
      <c r="D12" s="9" t="s">
        <v>11</v>
      </c>
      <c r="E12" s="41"/>
      <c r="F12" s="11">
        <f>F8+F9</f>
        <v>1250000</v>
      </c>
    </row>
    <row r="13" spans="1:6" s="1" customFormat="1" ht="22" customHeight="1">
      <c r="A13" s="39"/>
      <c r="B13" s="42"/>
      <c r="C13" s="42"/>
      <c r="D13" s="24" t="s">
        <v>16</v>
      </c>
      <c r="E13" s="42"/>
      <c r="F13" s="12">
        <f>F12*0.15</f>
        <v>187500</v>
      </c>
    </row>
    <row r="14" spans="1:6" s="1" customFormat="1" ht="22" customHeight="1">
      <c r="A14" s="40"/>
      <c r="B14" s="43"/>
      <c r="C14" s="43"/>
      <c r="D14" s="10" t="s">
        <v>12</v>
      </c>
      <c r="E14" s="43"/>
      <c r="F14" s="13">
        <f>F12+F13</f>
        <v>1437500</v>
      </c>
    </row>
    <row r="15" spans="1:6" ht="22" customHeight="1" thickBot="1"/>
    <row r="16" spans="1:6" ht="45" customHeight="1" thickBot="1">
      <c r="A16" s="25" t="s">
        <v>18</v>
      </c>
      <c r="B16" s="26"/>
      <c r="C16" s="26"/>
      <c r="D16" s="26"/>
      <c r="E16" s="26"/>
      <c r="F16" s="27"/>
    </row>
    <row r="17" spans="1:6" ht="22" customHeight="1" thickBot="1"/>
    <row r="18" spans="1:6" ht="94.5" customHeight="1" thickBot="1">
      <c r="A18" s="28" t="s">
        <v>17</v>
      </c>
      <c r="B18" s="29"/>
      <c r="C18" s="29"/>
      <c r="D18" s="29"/>
      <c r="E18" s="29"/>
      <c r="F18" s="30"/>
    </row>
  </sheetData>
  <mergeCells count="11">
    <mergeCell ref="A1:F1"/>
    <mergeCell ref="A18:F18"/>
    <mergeCell ref="A2:F2"/>
    <mergeCell ref="A16:F16"/>
    <mergeCell ref="E4:F4"/>
    <mergeCell ref="E5:F5"/>
    <mergeCell ref="A4:D5"/>
    <mergeCell ref="A12:A14"/>
    <mergeCell ref="B12:B14"/>
    <mergeCell ref="C12:C14"/>
    <mergeCell ref="E12:E14"/>
  </mergeCells>
  <pageMargins left="0.30208333333333331" right="0.33333333333333331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DH Geda</vt:lpstr>
      <vt:lpstr>PI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SG Proforma Invoice.xlsx</dc:title>
  <dc:creator>ABCD</dc:creator>
  <cp:lastModifiedBy>cv</cp:lastModifiedBy>
  <cp:lastPrinted>2024-09-25T11:54:53Z</cp:lastPrinted>
  <dcterms:created xsi:type="dcterms:W3CDTF">2024-09-25T11:25:20Z</dcterms:created>
  <dcterms:modified xsi:type="dcterms:W3CDTF">2025-12-15T07:06:43Z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2024-05-15T00:00:00Z</vt:filetime>
  </property>
  <property fmtid="{D5CDD505-2E9C-101B-9397-08002B2CF9AE}" pid="3" name="LastSaved">
    <vt:filetime>2024-09-25T00:00:00Z</vt:filetime>
  </property>
  <property fmtid="{D5CDD505-2E9C-101B-9397-08002B2CF9AE}" pid="4" name="Producer">
    <vt:lpwstr>Microsoft: Print To PDF</vt:lpwstr>
  </property>
</Properties>
</file>