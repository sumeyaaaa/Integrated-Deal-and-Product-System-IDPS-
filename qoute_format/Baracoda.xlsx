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0" yWindow="-120" windowWidth="19420" windowHeight="11020" activeTab="1"/>
  </bookViews>
  <sheets>
    <sheet name="Proforma Invoice" sheetId="3" r:id="rId1"/>
    <sheet name="Proforma Invoice 20&quot; Feet" sheetId="5" r:id="rId2"/>
    <sheet name="Sheet1" sheetId="4" r:id="rId3"/>
    <sheet name="Sheet2" sheetId="6" r:id="rId4"/>
    <sheet name="Sheet3" sheetId="7" r:id="rId5"/>
  </sheets>
  <definedNames>
    <definedName name="_xlnm.Print_Area" localSheetId="0">'Proforma Invoice'!$A$1:$M$44</definedName>
    <definedName name="_xlnm.Print_Area" localSheetId="1">'Proforma Invoice 20" Feet'!$A$1:$M$43</definedName>
    <definedName name="valuevx">42.314159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5" l="1"/>
  <c r="L30" i="5" s="1"/>
  <c r="L19" i="3" l="1"/>
  <c r="M19" i="3" s="1"/>
  <c r="L24" i="6"/>
  <c r="L25" i="6"/>
  <c r="L26" i="6"/>
  <c r="L27" i="6"/>
  <c r="L28" i="6"/>
  <c r="L29" i="6"/>
  <c r="L23" i="6"/>
  <c r="I32" i="6"/>
  <c r="L32" i="6"/>
  <c r="L24" i="4"/>
  <c r="M24" i="4"/>
  <c r="L19" i="4"/>
  <c r="M19" i="4"/>
  <c r="L24" i="3"/>
  <c r="M24" i="3" s="1"/>
  <c r="L31" i="5" l="1"/>
</calcChain>
</file>

<file path=xl/sharedStrings.xml><?xml version="1.0" encoding="utf-8"?>
<sst xmlns="http://schemas.openxmlformats.org/spreadsheetml/2006/main" count="192" uniqueCount="105">
  <si>
    <t>Phone: [000-000-0000]</t>
  </si>
  <si>
    <t>DESCRIPTION</t>
  </si>
  <si>
    <t>[42]</t>
  </si>
  <si>
    <t>CUSTOMER</t>
  </si>
  <si>
    <t>QTY</t>
  </si>
  <si>
    <t>TOTAL AMOUNT</t>
  </si>
  <si>
    <t>UNIT PRICE</t>
  </si>
  <si>
    <t>Date</t>
  </si>
  <si>
    <t>Invoice #</t>
  </si>
  <si>
    <t>[Street Address]</t>
  </si>
  <si>
    <t>PROFORMA INVOICE</t>
  </si>
  <si>
    <t>[City, ST  Pin code]</t>
  </si>
  <si>
    <t>Email Address:</t>
  </si>
  <si>
    <t>GSTIN NO:</t>
  </si>
  <si>
    <t>SL NO</t>
  </si>
  <si>
    <t>Seal and signature</t>
  </si>
  <si>
    <t>Thanks for doing business with us. Please visit us again !!!</t>
  </si>
  <si>
    <t xml:space="preserve">Baracodda Industrial Solutions </t>
  </si>
  <si>
    <t xml:space="preserve">Saint-Gobain Weber Manufacutring PLC </t>
  </si>
  <si>
    <t xml:space="preserve">Attention: Assegid/Liya </t>
  </si>
  <si>
    <t>VAT</t>
  </si>
  <si>
    <t xml:space="preserve">Visicryl 7556 E - Drum 240KG </t>
  </si>
  <si>
    <t xml:space="preserve">Apcotex OPT 4815 - Drum 200KG </t>
  </si>
  <si>
    <t>Styrene-Butadiene Latex used for modification of hydraulic binders. The dispersion is free from plasticizers and film forming aids.</t>
  </si>
  <si>
    <t xml:space="preserve">An aqueous APEO and formaldehyde-free acrylic acid-styrene copolymer emulsion used for waterproofing. </t>
  </si>
  <si>
    <t xml:space="preserve">Order Delivery as per Client </t>
  </si>
  <si>
    <t>000032</t>
  </si>
  <si>
    <t xml:space="preserve">Terms and conditions:
Minium Order Quantity: One 20" Container will hold from 14,000-16,000 KG 
Payment: Advance Payment is 50% &amp; Balance Payment is 50% on Delivery. </t>
  </si>
  <si>
    <t>Qty</t>
  </si>
  <si>
    <t>Unit Price</t>
  </si>
  <si>
    <t>Total Value
(Before VAT)</t>
  </si>
  <si>
    <t>Grand Total</t>
  </si>
  <si>
    <t>Aynalem Building, 203</t>
  </si>
  <si>
    <t>Behind Africa Union</t>
  </si>
  <si>
    <t>Addis Ababa, Ethiopia</t>
  </si>
  <si>
    <t>Email Address: barracoda123@gmail.com</t>
  </si>
  <si>
    <t>Phone: +251 - 937035149</t>
  </si>
  <si>
    <t>GSTIN NO:0089042389</t>
  </si>
  <si>
    <t>ADVAPOXY 1500 SL</t>
  </si>
  <si>
    <t>ADVAPOXY 2000</t>
  </si>
  <si>
    <t>ADVAPOXY PRIMER</t>
  </si>
  <si>
    <t>ADVALINE MARKING</t>
  </si>
  <si>
    <t>ADVAPOXY 1500</t>
  </si>
  <si>
    <t>ADVAPOXY MORTAR</t>
  </si>
  <si>
    <t>Total Value</t>
  </si>
  <si>
    <t>Contact Person: Negasi Kiross</t>
  </si>
  <si>
    <t>0000001</t>
  </si>
  <si>
    <t>AIM Industriesies Inc.</t>
  </si>
  <si>
    <t>1592 Anaheim Blvd “B”</t>
  </si>
  <si>
    <t>Anaheim, CA, 92805</t>
  </si>
  <si>
    <t>phone: (714) 563 1055</t>
  </si>
  <si>
    <t>Email: richard@aimindustries.us</t>
  </si>
  <si>
    <t>website: aimindustries.us</t>
  </si>
  <si>
    <t>Dimple Joint Residential Building, Office No. 217</t>
  </si>
  <si>
    <t>Thanks for doing business with us !!!</t>
  </si>
  <si>
    <t>Billed To:</t>
  </si>
  <si>
    <t>Barracodda Industrial Solution Plc</t>
  </si>
  <si>
    <t>ADVAPOXY CLEAR</t>
  </si>
  <si>
    <t>Delivery Note</t>
  </si>
  <si>
    <t>NO: 012/2025</t>
  </si>
  <si>
    <t>Date: 27/05/2025</t>
  </si>
  <si>
    <t>No</t>
  </si>
  <si>
    <t>Description</t>
  </si>
  <si>
    <t>UoM</t>
  </si>
  <si>
    <t>KG</t>
  </si>
  <si>
    <t>Pakaging</t>
  </si>
  <si>
    <t>12 Bags</t>
  </si>
  <si>
    <t>Iron Oxide Black</t>
  </si>
  <si>
    <t>Iron Oxide Yellow</t>
  </si>
  <si>
    <t>Iron Oxide Red</t>
  </si>
  <si>
    <t>Sample</t>
  </si>
  <si>
    <t>Goods Delivered By</t>
  </si>
  <si>
    <t>Goods Received By</t>
  </si>
  <si>
    <t>Name: _____________________________</t>
  </si>
  <si>
    <t>Signature: __________________________</t>
  </si>
  <si>
    <t>Date _______________________________</t>
  </si>
  <si>
    <t>Zinc Stearate</t>
  </si>
  <si>
    <t>TO</t>
  </si>
  <si>
    <t xml:space="preserve">Biniyam </t>
  </si>
  <si>
    <t>White Cement</t>
  </si>
  <si>
    <t>30 Bags</t>
  </si>
  <si>
    <t>NO: 013/2025</t>
  </si>
  <si>
    <t>Date: 05/06/2025</t>
  </si>
  <si>
    <t>To</t>
  </si>
  <si>
    <t>Saint Gobain Weber Manufacturing Plc</t>
  </si>
  <si>
    <t>20 Bags</t>
  </si>
  <si>
    <t>57 Bags</t>
  </si>
  <si>
    <t>NO: 014/2025</t>
  </si>
  <si>
    <t>Contact Person: Abduselam Yimer</t>
  </si>
  <si>
    <t>Phone: +251 - 921389505</t>
  </si>
  <si>
    <t>Attention: Fafi/Birtukan</t>
  </si>
  <si>
    <t>Customer: Grace construction chemicals PLC</t>
  </si>
  <si>
    <t>000101</t>
  </si>
  <si>
    <t>16/10/2024</t>
  </si>
  <si>
    <t xml:space="preserve">Terms and conditions:
Minium Order Quantity: 1000 KG Per Product
Payment: Advance Payment is 50% 30% when goods are delivered at Moyale and &amp; Balance Payment is 20% on Delivery. </t>
  </si>
  <si>
    <t>Ucar filmer (Film forming aids)</t>
  </si>
  <si>
    <t>Vinapor (Defomaer)</t>
  </si>
  <si>
    <t xml:space="preserve">Grand Total </t>
  </si>
  <si>
    <t>Dimple Building, 217</t>
  </si>
  <si>
    <t>Phone: +251 - 966274550</t>
  </si>
  <si>
    <t>Qty(kg)</t>
  </si>
  <si>
    <t>000120</t>
  </si>
  <si>
    <t>Contact Person: Negasi Kiros</t>
  </si>
  <si>
    <t>Muscat construction and trading plc</t>
  </si>
  <si>
    <t>Vsicryl 7556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</si>
</sst>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[$ETB]\ * #,##0.00_);_([$ETB]\ * \(#,##0.00\);_([$ETB]\ * &quot;-&quot;??_);_(@_)"/>
    <numFmt numFmtId="165" formatCode="_([$ETB]\ * #,##0_);_([$ETB]\ * \(#,##0\);_([$ETB]\ * &quot;-&quot;??_);_(@_)"/>
    <numFmt numFmtId="166" formatCode="_(* #,##0_);_(* \(#,##0\);_(* &quot;-&quot;??_);_(@_)"/>
  </numFmts>
  <fonts count="20" x14ac:knownFonts="1">
    <font>
      <sz val="10"/>
      <name val="Trebuchet MS"/>
      <family val="2"/>
    </font>
    <font>
      <sz val="10"/>
      <name val="Verdana"/>
      <family val="2"/>
    </font>
    <font>
      <u/>
      <sz val="10"/>
      <color indexed="12"/>
      <name val="Verdana"/>
      <family val="2"/>
    </font>
    <font>
      <sz val="8"/>
      <name val="Trebuchet MS"/>
      <family val="2"/>
    </font>
    <font>
      <sz val="10"/>
      <name val="Trebuchet MS"/>
      <family val="2"/>
      <scheme val="minor"/>
    </font>
    <font>
      <b/>
      <sz val="10"/>
      <name val="Trebuchet MS"/>
      <family val="2"/>
      <scheme val="minor"/>
    </font>
    <font>
      <u/>
      <sz val="10"/>
      <color indexed="12"/>
      <name val="Trebuchet MS"/>
      <family val="2"/>
      <scheme val="minor"/>
    </font>
    <font>
      <sz val="18"/>
      <name val="Arial"/>
      <family val="2"/>
      <scheme val="major"/>
    </font>
    <font>
      <sz val="10"/>
      <color theme="3"/>
      <name val="Trebuchet MS"/>
      <family val="2"/>
      <scheme val="minor"/>
    </font>
    <font>
      <sz val="8"/>
      <color indexed="9"/>
      <name val="Trebuchet MS"/>
      <family val="2"/>
      <scheme val="minor"/>
    </font>
    <font>
      <b/>
      <sz val="9"/>
      <color theme="3"/>
      <name val="Arial"/>
      <family val="2"/>
    </font>
    <font>
      <sz val="9"/>
      <color theme="3"/>
      <name val="Arial"/>
      <family val="2"/>
    </font>
    <font>
      <b/>
      <sz val="11"/>
      <color theme="0"/>
      <name val="Arial"/>
      <family val="2"/>
      <scheme val="major"/>
    </font>
    <font>
      <b/>
      <sz val="28"/>
      <color theme="3" tint="0.39997558519241921"/>
      <name val="Arial"/>
      <family val="2"/>
      <scheme val="major"/>
    </font>
    <font>
      <b/>
      <sz val="12"/>
      <name val="Trebuchet MS"/>
      <family val="2"/>
      <scheme val="minor"/>
    </font>
    <font>
      <b/>
      <sz val="22"/>
      <color theme="3" tint="0.39997558519241921"/>
      <name val="Arial"/>
      <family val="2"/>
      <scheme val="major"/>
    </font>
    <font>
      <b/>
      <sz val="11"/>
      <name val="Calibri"/>
      <family val="2"/>
    </font>
    <font>
      <sz val="11"/>
      <name val="Calibri"/>
      <family val="2"/>
    </font>
    <font>
      <b/>
      <sz val="22"/>
      <name val="Arial"/>
      <family val="2"/>
      <scheme val="major"/>
    </font>
    <font>
      <u/>
      <sz val="10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rgb="FFA5A5A5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4" fillId="0" borderId="0" xfId="0" applyFont="1"/>
    <xf numFmtId="0" fontId="4" fillId="0" borderId="0" xfId="0" applyFont="1" applyProtection="1">
      <protection locked="0"/>
    </xf>
    <xf numFmtId="0" fontId="5" fillId="0" borderId="0" xfId="0" applyFont="1" applyAlignment="1">
      <alignment horizontal="left"/>
    </xf>
    <xf numFmtId="0" fontId="4" fillId="0" borderId="0" xfId="0" applyFont="1" applyAlignment="1" applyProtection="1">
      <alignment horizontal="left"/>
      <protection locked="0"/>
    </xf>
    <xf numFmtId="0" fontId="6" fillId="0" borderId="0" xfId="2" applyFont="1" applyFill="1" applyAlignment="1" applyProtection="1"/>
    <xf numFmtId="0" fontId="4" fillId="0" borderId="0" xfId="0" applyFont="1" applyAlignment="1">
      <alignment vertical="top" wrapText="1"/>
    </xf>
    <xf numFmtId="0" fontId="5" fillId="0" borderId="0" xfId="0" applyFont="1"/>
    <xf numFmtId="0" fontId="7" fillId="0" borderId="0" xfId="0" applyFont="1" applyProtection="1">
      <protection locked="0"/>
    </xf>
    <xf numFmtId="0" fontId="8" fillId="0" borderId="0" xfId="0" applyFont="1"/>
    <xf numFmtId="0" fontId="7" fillId="0" borderId="0" xfId="0" applyFont="1" applyAlignment="1" applyProtection="1">
      <alignment vertical="center"/>
      <protection locked="0"/>
    </xf>
    <xf numFmtId="0" fontId="9" fillId="0" borderId="0" xfId="0" applyFont="1"/>
    <xf numFmtId="0" fontId="4" fillId="0" borderId="3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/>
      <protection locked="0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" fillId="0" borderId="0" xfId="2" applyNumberFormat="1" applyFill="1" applyAlignment="1" applyProtection="1">
      <alignment horizontal="left"/>
    </xf>
    <xf numFmtId="0" fontId="4" fillId="0" borderId="8" xfId="0" applyFont="1" applyBorder="1" applyAlignment="1" applyProtection="1">
      <alignment horizontal="center" vertical="top"/>
      <protection locked="0"/>
    </xf>
    <xf numFmtId="0" fontId="4" fillId="0" borderId="9" xfId="0" applyFont="1" applyBorder="1" applyAlignment="1" applyProtection="1">
      <alignment horizontal="center" vertical="top"/>
      <protection locked="0"/>
    </xf>
    <xf numFmtId="0" fontId="4" fillId="0" borderId="22" xfId="0" applyFont="1" applyBorder="1"/>
    <xf numFmtId="0" fontId="4" fillId="0" borderId="23" xfId="0" applyFont="1" applyBorder="1"/>
    <xf numFmtId="14" fontId="4" fillId="2" borderId="0" xfId="0" applyNumberFormat="1" applyFont="1" applyFill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12" fillId="3" borderId="12" xfId="0" applyFont="1" applyFill="1" applyBorder="1" applyAlignment="1">
      <alignment horizontal="center" vertical="center" wrapText="1"/>
    </xf>
    <xf numFmtId="0" fontId="4" fillId="0" borderId="0" xfId="0" quotePrefix="1" applyFont="1" applyAlignment="1" applyProtection="1">
      <alignment horizontal="center"/>
      <protection locked="0"/>
    </xf>
    <xf numFmtId="0" fontId="4" fillId="4" borderId="0" xfId="0" applyFont="1" applyFill="1" applyProtection="1">
      <protection locked="0"/>
    </xf>
    <xf numFmtId="0" fontId="4" fillId="0" borderId="3" xfId="0" applyFont="1" applyBorder="1" applyAlignment="1" applyProtection="1">
      <alignment horizontal="center" vertical="top"/>
      <protection locked="0"/>
    </xf>
    <xf numFmtId="164" fontId="4" fillId="2" borderId="8" xfId="1" applyNumberFormat="1" applyFont="1" applyFill="1" applyBorder="1" applyAlignment="1" applyProtection="1">
      <alignment horizontal="center" vertical="top"/>
    </xf>
    <xf numFmtId="164" fontId="4" fillId="2" borderId="9" xfId="1" applyNumberFormat="1" applyFont="1" applyFill="1" applyBorder="1" applyAlignment="1" applyProtection="1">
      <alignment horizontal="center" vertical="top"/>
    </xf>
    <xf numFmtId="164" fontId="4" fillId="0" borderId="0" xfId="0" applyNumberFormat="1" applyFont="1" applyAlignment="1">
      <alignment horizontal="center"/>
    </xf>
    <xf numFmtId="165" fontId="4" fillId="2" borderId="8" xfId="1" applyNumberFormat="1" applyFont="1" applyFill="1" applyBorder="1" applyAlignment="1" applyProtection="1">
      <alignment horizontal="center" vertical="top"/>
    </xf>
    <xf numFmtId="166" fontId="4" fillId="0" borderId="0" xfId="1" applyNumberFormat="1" applyFont="1" applyProtection="1">
      <protection locked="0"/>
    </xf>
    <xf numFmtId="166" fontId="4" fillId="0" borderId="0" xfId="1" applyNumberFormat="1" applyFont="1" applyAlignment="1" applyProtection="1">
      <alignment horizontal="left"/>
      <protection locked="0"/>
    </xf>
    <xf numFmtId="166" fontId="4" fillId="0" borderId="0" xfId="1" applyNumberFormat="1" applyFont="1"/>
    <xf numFmtId="166" fontId="12" fillId="3" borderId="12" xfId="1" applyNumberFormat="1" applyFont="1" applyFill="1" applyBorder="1" applyAlignment="1">
      <alignment horizontal="center" vertical="center" wrapText="1"/>
    </xf>
    <xf numFmtId="166" fontId="4" fillId="0" borderId="8" xfId="1" applyNumberFormat="1" applyFont="1" applyBorder="1" applyAlignment="1" applyProtection="1">
      <alignment horizontal="center" vertical="top"/>
      <protection locked="0"/>
    </xf>
    <xf numFmtId="166" fontId="4" fillId="0" borderId="9" xfId="1" applyNumberFormat="1" applyFont="1" applyBorder="1" applyAlignment="1" applyProtection="1">
      <alignment horizontal="center" vertical="top"/>
      <protection locked="0"/>
    </xf>
    <xf numFmtId="166" fontId="9" fillId="0" borderId="0" xfId="1" applyNumberFormat="1" applyFont="1"/>
    <xf numFmtId="166" fontId="4" fillId="0" borderId="22" xfId="1" applyNumberFormat="1" applyFont="1" applyBorder="1"/>
    <xf numFmtId="0" fontId="4" fillId="0" borderId="5" xfId="0" applyFont="1" applyBorder="1" applyAlignment="1" applyProtection="1">
      <alignment vertical="top" wrapText="1"/>
      <protection locked="0"/>
    </xf>
    <xf numFmtId="0" fontId="4" fillId="0" borderId="0" xfId="0" applyFont="1" applyAlignment="1" applyProtection="1">
      <alignment vertical="top" wrapText="1"/>
      <protection locked="0"/>
    </xf>
    <xf numFmtId="0" fontId="4" fillId="0" borderId="10" xfId="0" applyFont="1" applyBorder="1" applyAlignment="1" applyProtection="1">
      <alignment vertical="top" wrapText="1"/>
      <protection locked="0"/>
    </xf>
    <xf numFmtId="4" fontId="4" fillId="2" borderId="8" xfId="1" applyNumberFormat="1" applyFont="1" applyFill="1" applyBorder="1" applyAlignment="1" applyProtection="1">
      <alignment horizontal="center" vertical="top"/>
    </xf>
    <xf numFmtId="43" fontId="4" fillId="2" borderId="8" xfId="1" applyFont="1" applyFill="1" applyBorder="1" applyAlignment="1" applyProtection="1">
      <alignment horizontal="center" vertical="top"/>
    </xf>
    <xf numFmtId="0" fontId="5" fillId="0" borderId="0" xfId="0" applyFont="1" applyAlignment="1">
      <alignment horizontal="right"/>
    </xf>
    <xf numFmtId="14" fontId="4" fillId="0" borderId="0" xfId="0" applyNumberFormat="1" applyFont="1"/>
    <xf numFmtId="49" fontId="4" fillId="0" borderId="0" xfId="0" applyNumberFormat="1" applyFont="1" applyAlignment="1">
      <alignment horizontal="right"/>
    </xf>
    <xf numFmtId="166" fontId="4" fillId="0" borderId="8" xfId="1" applyNumberFormat="1" applyFont="1" applyBorder="1" applyAlignment="1" applyProtection="1">
      <alignment horizontal="center" vertical="center"/>
      <protection locked="0"/>
    </xf>
    <xf numFmtId="0" fontId="14" fillId="0" borderId="0" xfId="0" applyFont="1" applyProtection="1">
      <protection locked="0"/>
    </xf>
    <xf numFmtId="0" fontId="5" fillId="0" borderId="16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1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17" fillId="5" borderId="30" xfId="0" applyFont="1" applyFill="1" applyBorder="1" applyAlignment="1">
      <alignment horizontal="center" vertical="center"/>
    </xf>
    <xf numFmtId="0" fontId="17" fillId="5" borderId="31" xfId="0" applyFont="1" applyFill="1" applyBorder="1" applyAlignment="1">
      <alignment horizontal="center" vertical="center"/>
    </xf>
    <xf numFmtId="0" fontId="17" fillId="0" borderId="31" xfId="0" applyFont="1" applyBorder="1"/>
    <xf numFmtId="43" fontId="17" fillId="0" borderId="31" xfId="0" applyNumberFormat="1" applyFont="1" applyBorder="1"/>
    <xf numFmtId="0" fontId="17" fillId="0" borderId="30" xfId="0" applyFont="1" applyBorder="1"/>
    <xf numFmtId="0" fontId="15" fillId="0" borderId="0" xfId="0" applyFont="1"/>
    <xf numFmtId="0" fontId="17" fillId="0" borderId="30" xfId="0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7" fillId="0" borderId="31" xfId="0" applyFont="1" applyBorder="1" applyAlignment="1">
      <alignment horizontal="center"/>
    </xf>
    <xf numFmtId="0" fontId="19" fillId="0" borderId="0" xfId="0" applyFont="1"/>
    <xf numFmtId="165" fontId="4" fillId="2" borderId="32" xfId="1" applyNumberFormat="1" applyFont="1" applyFill="1" applyBorder="1" applyAlignment="1" applyProtection="1">
      <alignment horizontal="center" vertical="top"/>
    </xf>
    <xf numFmtId="164" fontId="4" fillId="2" borderId="32" xfId="1" applyNumberFormat="1" applyFont="1" applyFill="1" applyBorder="1" applyAlignment="1" applyProtection="1">
      <alignment horizontal="center" vertical="top"/>
    </xf>
    <xf numFmtId="0" fontId="4" fillId="0" borderId="16" xfId="0" applyFont="1" applyBorder="1"/>
    <xf numFmtId="0" fontId="4" fillId="0" borderId="1" xfId="0" applyFont="1" applyBorder="1"/>
    <xf numFmtId="0" fontId="4" fillId="0" borderId="17" xfId="0" applyFont="1" applyBorder="1"/>
    <xf numFmtId="0" fontId="4" fillId="0" borderId="0" xfId="0" applyFont="1" applyBorder="1"/>
    <xf numFmtId="0" fontId="4" fillId="0" borderId="10" xfId="0" applyFont="1" applyBorder="1"/>
    <xf numFmtId="0" fontId="5" fillId="0" borderId="18" xfId="0" applyFont="1" applyBorder="1"/>
    <xf numFmtId="0" fontId="4" fillId="0" borderId="0" xfId="0" applyFont="1" applyProtection="1">
      <protection locked="0"/>
    </xf>
    <xf numFmtId="0" fontId="4" fillId="0" borderId="5" xfId="0" applyFont="1" applyBorder="1" applyAlignment="1" applyProtection="1">
      <alignment horizontal="center" vertical="top"/>
      <protection locked="0"/>
    </xf>
    <xf numFmtId="0" fontId="4" fillId="0" borderId="0" xfId="0" applyFont="1" applyAlignment="1" applyProtection="1">
      <alignment horizontal="center" vertical="top"/>
      <protection locked="0"/>
    </xf>
    <xf numFmtId="0" fontId="4" fillId="0" borderId="10" xfId="0" applyFont="1" applyBorder="1" applyAlignment="1" applyProtection="1">
      <alignment horizontal="center" vertical="top"/>
      <protection locked="0"/>
    </xf>
    <xf numFmtId="0" fontId="4" fillId="0" borderId="5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10" xfId="0" applyFont="1" applyBorder="1" applyAlignment="1" applyProtection="1">
      <alignment horizontal="left" vertical="top" wrapText="1"/>
      <protection locked="0"/>
    </xf>
    <xf numFmtId="164" fontId="4" fillId="0" borderId="0" xfId="1" applyNumberFormat="1" applyFont="1" applyBorder="1" applyAlignment="1" applyProtection="1">
      <alignment horizontal="center" vertical="top"/>
      <protection locked="0"/>
    </xf>
    <xf numFmtId="0" fontId="4" fillId="0" borderId="5" xfId="0" applyFont="1" applyBorder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4" fillId="0" borderId="10" xfId="0" applyFont="1" applyBorder="1" applyAlignment="1" applyProtection="1">
      <alignment horizontal="left" vertical="top"/>
      <protection locked="0"/>
    </xf>
    <xf numFmtId="164" fontId="4" fillId="0" borderId="7" xfId="0" applyNumberFormat="1" applyFont="1" applyBorder="1" applyAlignment="1" applyProtection="1">
      <alignment horizontal="center" vertical="top"/>
      <protection locked="0"/>
    </xf>
    <xf numFmtId="0" fontId="4" fillId="0" borderId="0" xfId="0" applyFont="1"/>
    <xf numFmtId="0" fontId="4" fillId="0" borderId="0" xfId="0" applyFont="1" applyProtection="1">
      <protection locked="0"/>
    </xf>
    <xf numFmtId="0" fontId="4" fillId="0" borderId="6" xfId="0" applyFont="1" applyBorder="1" applyAlignment="1" applyProtection="1">
      <alignment horizontal="center" vertical="top"/>
      <protection locked="0"/>
    </xf>
    <xf numFmtId="0" fontId="4" fillId="0" borderId="7" xfId="0" applyFont="1" applyBorder="1" applyAlignment="1" applyProtection="1">
      <alignment horizontal="center" vertical="top"/>
      <protection locked="0"/>
    </xf>
    <xf numFmtId="0" fontId="4" fillId="0" borderId="11" xfId="0" applyFont="1" applyBorder="1" applyAlignment="1" applyProtection="1">
      <alignment horizontal="center" vertical="top"/>
      <protection locked="0"/>
    </xf>
    <xf numFmtId="0" fontId="5" fillId="0" borderId="0" xfId="0" applyFont="1" applyAlignment="1">
      <alignment horizontal="center" vertical="center"/>
    </xf>
    <xf numFmtId="0" fontId="5" fillId="0" borderId="16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0" fontId="4" fillId="0" borderId="21" xfId="0" applyFont="1" applyBorder="1" applyAlignment="1">
      <alignment vertical="center"/>
    </xf>
    <xf numFmtId="0" fontId="5" fillId="0" borderId="1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left"/>
    </xf>
    <xf numFmtId="0" fontId="4" fillId="0" borderId="0" xfId="0" applyFont="1" applyBorder="1" applyAlignment="1">
      <alignment horizontal="left" vertical="top"/>
    </xf>
    <xf numFmtId="0" fontId="5" fillId="0" borderId="0" xfId="0" applyFont="1" applyAlignment="1">
      <alignment horizontal="center"/>
    </xf>
    <xf numFmtId="166" fontId="4" fillId="0" borderId="33" xfId="1" applyNumberFormat="1" applyFont="1" applyBorder="1" applyAlignment="1" applyProtection="1">
      <alignment horizontal="center" vertical="top"/>
      <protection locked="0"/>
    </xf>
    <xf numFmtId="166" fontId="4" fillId="0" borderId="34" xfId="1" applyNumberFormat="1" applyFont="1" applyBorder="1" applyAlignment="1" applyProtection="1">
      <alignment horizontal="center" vertical="top"/>
      <protection locked="0"/>
    </xf>
    <xf numFmtId="166" fontId="4" fillId="0" borderId="35" xfId="1" applyNumberFormat="1" applyFont="1" applyBorder="1" applyAlignment="1" applyProtection="1">
      <alignment horizontal="center" vertical="top"/>
      <protection locked="0"/>
    </xf>
    <xf numFmtId="43" fontId="4" fillId="0" borderId="0" xfId="1" applyFont="1" applyBorder="1" applyAlignment="1" applyProtection="1">
      <alignment horizontal="center" vertical="top"/>
      <protection locked="0"/>
    </xf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27" xfId="0" applyFont="1" applyBorder="1" applyAlignment="1" applyProtection="1">
      <alignment horizontal="center" vertical="top"/>
      <protection locked="0"/>
    </xf>
    <xf numFmtId="0" fontId="4" fillId="0" borderId="28" xfId="0" applyFont="1" applyBorder="1" applyAlignment="1" applyProtection="1">
      <alignment horizontal="center" vertical="top"/>
      <protection locked="0"/>
    </xf>
    <xf numFmtId="0" fontId="4" fillId="0" borderId="29" xfId="0" applyFont="1" applyBorder="1" applyAlignment="1" applyProtection="1">
      <alignment horizontal="center" vertical="top"/>
      <protection locked="0"/>
    </xf>
    <xf numFmtId="0" fontId="4" fillId="0" borderId="0" xfId="0" applyFont="1" applyAlignment="1" applyProtection="1">
      <alignment horizontal="left"/>
      <protection locked="0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4" fillId="0" borderId="0" xfId="0" applyFont="1" applyAlignment="1" applyProtection="1">
      <alignment horizontal="left"/>
      <protection locked="0"/>
    </xf>
    <xf numFmtId="0" fontId="17" fillId="0" borderId="0" xfId="0" applyFont="1" applyAlignment="1">
      <alignment horizontal="center"/>
    </xf>
    <xf numFmtId="0" fontId="0" fillId="0" borderId="0" xfId="0"/>
    <xf numFmtId="0" fontId="17" fillId="0" borderId="0" xfId="0" applyFont="1"/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85724</xdr:colOff>
      <xdr:row>33</xdr:row>
      <xdr:rowOff>180832</xdr:rowOff>
    </xdr:from>
    <xdr:to>
      <xdr:col>11</xdr:col>
      <xdr:colOff>704850</xdr:colOff>
      <xdr:row>39</xdr:row>
      <xdr:rowOff>23928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46A3286A-A884-473E-B247-37368604A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599" y="6972157"/>
          <a:ext cx="971551" cy="9860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346447</xdr:colOff>
      <xdr:row>31</xdr:row>
      <xdr:rowOff>144740</xdr:rowOff>
    </xdr:from>
    <xdr:to>
      <xdr:col>11</xdr:col>
      <xdr:colOff>882009</xdr:colOff>
      <xdr:row>37</xdr:row>
      <xdr:rowOff>164354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4976" y="6046505"/>
          <a:ext cx="1372268" cy="10953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425024</xdr:colOff>
      <xdr:row>34</xdr:row>
      <xdr:rowOff>22412</xdr:rowOff>
    </xdr:from>
    <xdr:to>
      <xdr:col>11</xdr:col>
      <xdr:colOff>985939</xdr:colOff>
      <xdr:row>42</xdr:row>
      <xdr:rowOff>32990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2774" y="7451912"/>
          <a:ext cx="1608665" cy="1561792"/>
        </a:xfrm>
        <a:prstGeom prst="rect">
          <a:avLst/>
        </a:prstGeom>
      </xdr:spPr>
    </xdr:pic>
    <xdr:clientData/>
  </xdr:twoCellAnchor>
  <xdr:twoCellAnchor editAs="oneCell">
    <xdr:from>
      <xdr:col>8</xdr:col>
      <xdr:colOff>299358</xdr:colOff>
      <xdr:row>38</xdr:row>
      <xdr:rowOff>22412</xdr:rowOff>
    </xdr:from>
    <xdr:to>
      <xdr:col>9</xdr:col>
      <xdr:colOff>451847</xdr:colOff>
      <xdr:row>42</xdr:row>
      <xdr:rowOff>23936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2822" y="8241126"/>
          <a:ext cx="696775" cy="763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Vertex42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Vertex4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43"/>
  <sheetViews>
    <sheetView showGridLines="0" topLeftCell="A19" workbookViewId="0">
      <selection activeCell="B35" sqref="B35:H40"/>
    </sheetView>
  </sheetViews>
  <sheetFormatPr defaultColWidth="8.8984375" defaultRowHeight="13.5" x14ac:dyDescent="0.35"/>
  <cols>
    <col min="1" max="1" width="4.59765625" style="1" customWidth="1"/>
    <col min="2" max="2" width="11.3984375" style="1" customWidth="1"/>
    <col min="3" max="3" width="11.8984375" style="1" customWidth="1"/>
    <col min="4" max="4" width="12.69921875" style="1" customWidth="1"/>
    <col min="5" max="5" width="6.69921875" style="1" customWidth="1"/>
    <col min="6" max="7" width="11.3984375" style="1" customWidth="1"/>
    <col min="8" max="8" width="12.69921875" style="1" customWidth="1"/>
    <col min="9" max="9" width="8.09765625" style="1" customWidth="1"/>
    <col min="10" max="10" width="8.296875" style="1" customWidth="1"/>
    <col min="11" max="11" width="5.296875" style="1" customWidth="1"/>
    <col min="12" max="12" width="13.09765625" style="1" customWidth="1"/>
    <col min="13" max="13" width="15.69921875" style="1" customWidth="1"/>
    <col min="14" max="14" width="19" style="1" customWidth="1"/>
    <col min="15" max="16384" width="8.8984375" style="1"/>
  </cols>
  <sheetData>
    <row r="2" spans="2:14" ht="35" x14ac:dyDescent="0.7">
      <c r="B2" s="10" t="s">
        <v>17</v>
      </c>
      <c r="C2" s="8"/>
      <c r="D2" s="8"/>
      <c r="E2" s="8"/>
      <c r="F2" s="8"/>
      <c r="G2" s="115" t="s">
        <v>10</v>
      </c>
      <c r="H2" s="115"/>
      <c r="I2" s="115"/>
      <c r="J2" s="115"/>
      <c r="K2" s="115"/>
      <c r="L2" s="115"/>
    </row>
    <row r="3" spans="2:14" ht="14" x14ac:dyDescent="0.35">
      <c r="B3" s="2" t="s">
        <v>32</v>
      </c>
      <c r="C3" s="2"/>
      <c r="D3" s="2"/>
      <c r="E3" s="2"/>
      <c r="F3" s="2"/>
      <c r="G3" s="2"/>
      <c r="H3" s="2"/>
      <c r="I3" s="2"/>
      <c r="J3" s="3" t="s">
        <v>7</v>
      </c>
      <c r="L3" s="21" t="s">
        <v>93</v>
      </c>
      <c r="N3" s="16"/>
    </row>
    <row r="4" spans="2:14" x14ac:dyDescent="0.35">
      <c r="B4" s="2" t="s">
        <v>33</v>
      </c>
      <c r="C4" s="4"/>
      <c r="D4" s="4"/>
      <c r="E4" s="4"/>
      <c r="F4" s="4"/>
      <c r="G4" s="4"/>
      <c r="H4" s="4"/>
      <c r="I4" s="4"/>
      <c r="J4" s="3" t="s">
        <v>8</v>
      </c>
      <c r="L4" s="24" t="s">
        <v>92</v>
      </c>
      <c r="N4" s="5"/>
    </row>
    <row r="5" spans="2:14" ht="15" customHeight="1" x14ac:dyDescent="0.35">
      <c r="B5" s="2" t="s">
        <v>34</v>
      </c>
      <c r="C5" s="4"/>
      <c r="D5" s="4"/>
      <c r="E5" s="4"/>
      <c r="F5" s="4"/>
      <c r="G5" s="4"/>
      <c r="H5" s="4"/>
      <c r="I5" s="2"/>
      <c r="N5" s="9"/>
    </row>
    <row r="6" spans="2:14" x14ac:dyDescent="0.35">
      <c r="B6" s="2" t="s">
        <v>35</v>
      </c>
      <c r="C6" s="2"/>
      <c r="D6" s="6"/>
      <c r="E6" s="6"/>
      <c r="F6" s="6"/>
      <c r="G6" s="6"/>
      <c r="H6" s="6"/>
      <c r="I6" s="2"/>
      <c r="J6" s="7"/>
      <c r="L6" s="22"/>
      <c r="N6" s="9"/>
    </row>
    <row r="7" spans="2:14" x14ac:dyDescent="0.35">
      <c r="B7" s="2" t="s">
        <v>88</v>
      </c>
      <c r="C7" s="2"/>
      <c r="D7" s="6"/>
      <c r="E7" s="6"/>
      <c r="F7" s="6"/>
      <c r="G7" s="6"/>
      <c r="H7" s="6"/>
      <c r="I7" s="2"/>
      <c r="J7" s="3"/>
      <c r="N7" s="9"/>
    </row>
    <row r="8" spans="2:14" x14ac:dyDescent="0.35">
      <c r="B8" s="2" t="s">
        <v>89</v>
      </c>
      <c r="C8" s="2"/>
      <c r="D8" s="4"/>
      <c r="N8" s="9"/>
    </row>
    <row r="9" spans="2:14" x14ac:dyDescent="0.35">
      <c r="B9" s="2" t="s">
        <v>37</v>
      </c>
      <c r="C9" s="2"/>
      <c r="D9" s="6"/>
      <c r="F9" s="91"/>
      <c r="G9" s="91"/>
      <c r="H9" s="91"/>
      <c r="I9" s="2"/>
      <c r="J9" s="90"/>
      <c r="K9" s="90"/>
      <c r="L9" s="90"/>
      <c r="N9" s="9"/>
    </row>
    <row r="10" spans="2:14" x14ac:dyDescent="0.35">
      <c r="B10" s="91" t="s">
        <v>91</v>
      </c>
      <c r="C10" s="91"/>
      <c r="D10" s="91"/>
      <c r="E10" s="2"/>
      <c r="F10" s="91"/>
      <c r="G10" s="91"/>
      <c r="H10" s="91"/>
      <c r="I10" s="2"/>
      <c r="J10" s="90"/>
      <c r="K10" s="90"/>
      <c r="L10" s="90"/>
      <c r="N10" s="9"/>
    </row>
    <row r="11" spans="2:14" x14ac:dyDescent="0.35">
      <c r="B11" s="91" t="s">
        <v>90</v>
      </c>
      <c r="C11" s="91"/>
      <c r="D11" s="91"/>
      <c r="E11" s="2"/>
      <c r="F11" s="91"/>
      <c r="G11" s="91"/>
      <c r="H11" s="91"/>
      <c r="I11" s="2"/>
      <c r="J11" s="90"/>
      <c r="K11" s="90"/>
      <c r="L11" s="90"/>
      <c r="N11" s="9"/>
    </row>
    <row r="12" spans="2:14" x14ac:dyDescent="0.35">
      <c r="B12" s="91"/>
      <c r="C12" s="91"/>
      <c r="D12" s="91"/>
      <c r="E12" s="2"/>
      <c r="F12" s="91"/>
      <c r="G12" s="91"/>
      <c r="H12" s="91"/>
      <c r="I12" s="2"/>
      <c r="J12" s="90"/>
      <c r="K12" s="90"/>
      <c r="L12" s="90"/>
      <c r="N12" s="9"/>
    </row>
    <row r="13" spans="2:14" ht="14.5" x14ac:dyDescent="0.35">
      <c r="B13" s="119" t="s">
        <v>25</v>
      </c>
      <c r="C13" s="119"/>
      <c r="D13" s="119"/>
      <c r="E13" s="2"/>
      <c r="F13" s="91"/>
      <c r="G13" s="91"/>
      <c r="H13" s="91"/>
      <c r="I13" s="2"/>
      <c r="J13" s="90"/>
      <c r="K13" s="90"/>
      <c r="L13" s="90"/>
      <c r="N13" s="14"/>
    </row>
    <row r="14" spans="2:14" x14ac:dyDescent="0.35">
      <c r="B14" s="91"/>
      <c r="C14" s="91"/>
      <c r="D14" s="91"/>
      <c r="E14" s="2"/>
      <c r="F14" s="91"/>
      <c r="G14" s="91"/>
      <c r="H14" s="91"/>
      <c r="I14" s="2"/>
      <c r="J14" s="90"/>
      <c r="K14" s="90"/>
      <c r="L14" s="90"/>
      <c r="N14" s="15"/>
    </row>
    <row r="15" spans="2:14" ht="14" thickBot="1" x14ac:dyDescent="0.4">
      <c r="N15" s="15"/>
    </row>
    <row r="16" spans="2:14" ht="32.25" customHeight="1" thickBot="1" x14ac:dyDescent="0.4">
      <c r="B16" s="23" t="s">
        <v>14</v>
      </c>
      <c r="C16" s="116" t="s">
        <v>1</v>
      </c>
      <c r="D16" s="117"/>
      <c r="E16" s="117"/>
      <c r="F16" s="117"/>
      <c r="G16" s="117"/>
      <c r="H16" s="118"/>
      <c r="I16" s="23" t="s">
        <v>4</v>
      </c>
      <c r="J16" s="116" t="s">
        <v>6</v>
      </c>
      <c r="K16" s="118"/>
      <c r="L16" s="23" t="s">
        <v>20</v>
      </c>
      <c r="M16" s="23" t="s">
        <v>5</v>
      </c>
      <c r="N16" s="9"/>
    </row>
    <row r="17" spans="2:14" x14ac:dyDescent="0.35">
      <c r="B17" s="26"/>
      <c r="C17" s="79"/>
      <c r="D17" s="80"/>
      <c r="E17" s="80"/>
      <c r="F17" s="80"/>
      <c r="G17" s="80"/>
      <c r="H17" s="81"/>
      <c r="I17" s="17"/>
      <c r="J17" s="85"/>
      <c r="K17" s="85"/>
      <c r="L17" s="27"/>
      <c r="M17" s="27"/>
      <c r="N17" s="9"/>
    </row>
    <row r="18" spans="2:14" x14ac:dyDescent="0.35">
      <c r="B18" s="26"/>
      <c r="C18" s="86"/>
      <c r="D18" s="87"/>
      <c r="E18" s="87"/>
      <c r="F18" s="87"/>
      <c r="G18" s="87"/>
      <c r="H18" s="88"/>
      <c r="I18" s="17"/>
      <c r="J18" s="85"/>
      <c r="K18" s="85"/>
      <c r="L18" s="27"/>
      <c r="M18" s="27"/>
      <c r="N18" s="9"/>
    </row>
    <row r="19" spans="2:14" x14ac:dyDescent="0.35">
      <c r="B19" s="26">
        <v>1</v>
      </c>
      <c r="C19" s="86" t="s">
        <v>95</v>
      </c>
      <c r="D19" s="87"/>
      <c r="E19" s="87"/>
      <c r="F19" s="87"/>
      <c r="G19" s="87"/>
      <c r="H19" s="88"/>
      <c r="I19" s="17">
        <v>20000</v>
      </c>
      <c r="J19" s="85">
        <v>199</v>
      </c>
      <c r="K19" s="85"/>
      <c r="L19" s="27">
        <f>J19*15%</f>
        <v>29.849999999999998</v>
      </c>
      <c r="M19" s="27">
        <f>(J19+L19)*20000</f>
        <v>4577000</v>
      </c>
      <c r="N19" s="9"/>
    </row>
    <row r="20" spans="2:14" ht="13.5" customHeight="1" x14ac:dyDescent="0.35">
      <c r="B20" s="26"/>
      <c r="C20" s="82"/>
      <c r="D20" s="83"/>
      <c r="E20" s="83"/>
      <c r="F20" s="83"/>
      <c r="G20" s="83"/>
      <c r="H20" s="84"/>
      <c r="I20" s="17"/>
      <c r="J20" s="85"/>
      <c r="K20" s="85"/>
      <c r="L20" s="27"/>
      <c r="M20" s="27"/>
      <c r="N20" s="9"/>
    </row>
    <row r="21" spans="2:14" x14ac:dyDescent="0.35">
      <c r="B21" s="26"/>
      <c r="C21" s="82"/>
      <c r="D21" s="83"/>
      <c r="E21" s="83"/>
      <c r="F21" s="83"/>
      <c r="G21" s="83"/>
      <c r="H21" s="84"/>
      <c r="I21" s="17"/>
      <c r="J21" s="85"/>
      <c r="K21" s="85"/>
      <c r="L21" s="27"/>
      <c r="M21" s="27"/>
      <c r="N21" s="9"/>
    </row>
    <row r="22" spans="2:14" x14ac:dyDescent="0.35">
      <c r="B22" s="26"/>
      <c r="C22" s="79"/>
      <c r="D22" s="80"/>
      <c r="E22" s="80"/>
      <c r="F22" s="80"/>
      <c r="G22" s="80"/>
      <c r="H22" s="81"/>
      <c r="I22" s="17"/>
      <c r="J22" s="85"/>
      <c r="K22" s="85"/>
      <c r="L22" s="27"/>
      <c r="M22" s="27"/>
      <c r="N22" s="9"/>
    </row>
    <row r="23" spans="2:14" x14ac:dyDescent="0.35">
      <c r="B23" s="26"/>
      <c r="C23" s="79"/>
      <c r="D23" s="80"/>
      <c r="E23" s="80"/>
      <c r="F23" s="80"/>
      <c r="G23" s="80"/>
      <c r="H23" s="81"/>
      <c r="I23" s="17"/>
      <c r="J23" s="85"/>
      <c r="K23" s="85"/>
      <c r="L23" s="27"/>
      <c r="M23" s="27"/>
      <c r="N23" s="9"/>
    </row>
    <row r="24" spans="2:14" x14ac:dyDescent="0.35">
      <c r="B24" s="26">
        <v>2</v>
      </c>
      <c r="C24" s="86" t="s">
        <v>96</v>
      </c>
      <c r="D24" s="87"/>
      <c r="E24" s="87"/>
      <c r="F24" s="87"/>
      <c r="G24" s="87"/>
      <c r="H24" s="88"/>
      <c r="I24" s="17">
        <v>2000</v>
      </c>
      <c r="J24" s="85">
        <v>456</v>
      </c>
      <c r="K24" s="85"/>
      <c r="L24" s="27">
        <f>J24*15%</f>
        <v>68.399999999999991</v>
      </c>
      <c r="M24" s="27">
        <f>(J24+L24)*I24</f>
        <v>1048800</v>
      </c>
      <c r="N24" s="9"/>
    </row>
    <row r="25" spans="2:14" x14ac:dyDescent="0.35">
      <c r="B25" s="12"/>
      <c r="C25" s="82"/>
      <c r="D25" s="83"/>
      <c r="E25" s="83"/>
      <c r="F25" s="83"/>
      <c r="G25" s="83"/>
      <c r="H25" s="84"/>
      <c r="I25" s="17"/>
      <c r="J25" s="85"/>
      <c r="K25" s="85"/>
      <c r="L25" s="27"/>
      <c r="M25" s="27"/>
      <c r="N25" s="9"/>
    </row>
    <row r="26" spans="2:14" x14ac:dyDescent="0.35">
      <c r="B26" s="12"/>
      <c r="C26" s="82"/>
      <c r="D26" s="83"/>
      <c r="E26" s="83"/>
      <c r="F26" s="83"/>
      <c r="G26" s="83"/>
      <c r="H26" s="84"/>
      <c r="I26" s="17"/>
      <c r="J26" s="85"/>
      <c r="K26" s="85"/>
      <c r="L26" s="27"/>
      <c r="M26" s="27"/>
      <c r="N26" s="9"/>
    </row>
    <row r="27" spans="2:14" x14ac:dyDescent="0.35">
      <c r="B27" s="12"/>
      <c r="I27" s="17"/>
      <c r="J27" s="85"/>
      <c r="K27" s="85"/>
      <c r="L27" s="27"/>
      <c r="M27" s="27"/>
      <c r="N27" s="9"/>
    </row>
    <row r="28" spans="2:14" x14ac:dyDescent="0.35">
      <c r="B28" s="12"/>
      <c r="I28" s="17"/>
      <c r="J28" s="85"/>
      <c r="K28" s="85"/>
      <c r="L28" s="27"/>
      <c r="M28" s="27"/>
      <c r="N28" s="9"/>
    </row>
    <row r="29" spans="2:14" x14ac:dyDescent="0.35">
      <c r="B29" s="12"/>
      <c r="I29" s="17"/>
      <c r="J29" s="85"/>
      <c r="K29" s="85"/>
      <c r="L29" s="27"/>
      <c r="M29" s="27"/>
      <c r="N29" s="9"/>
    </row>
    <row r="30" spans="2:14" x14ac:dyDescent="0.35">
      <c r="B30" s="12"/>
      <c r="C30" s="79"/>
      <c r="D30" s="80"/>
      <c r="E30" s="80"/>
      <c r="F30" s="80"/>
      <c r="G30" s="80"/>
      <c r="H30" s="81"/>
      <c r="I30" s="17"/>
      <c r="J30" s="85"/>
      <c r="K30" s="85"/>
      <c r="L30" s="27"/>
      <c r="M30" s="27"/>
      <c r="N30" s="9"/>
    </row>
    <row r="31" spans="2:14" x14ac:dyDescent="0.35">
      <c r="B31" s="12"/>
      <c r="C31" s="79"/>
      <c r="D31" s="80"/>
      <c r="E31" s="80"/>
      <c r="F31" s="80"/>
      <c r="G31" s="80"/>
      <c r="H31" s="81"/>
      <c r="I31" s="17"/>
      <c r="J31" s="85"/>
      <c r="K31" s="85"/>
      <c r="L31" s="27"/>
      <c r="M31" s="27"/>
      <c r="N31" s="9"/>
    </row>
    <row r="32" spans="2:14" x14ac:dyDescent="0.35">
      <c r="B32" s="13"/>
      <c r="C32" s="92"/>
      <c r="D32" s="93"/>
      <c r="E32" s="93"/>
      <c r="F32" s="93"/>
      <c r="G32" s="93"/>
      <c r="H32" s="94"/>
      <c r="I32" s="18"/>
      <c r="J32" s="89"/>
      <c r="K32" s="89"/>
      <c r="L32" s="28"/>
      <c r="M32" s="28"/>
      <c r="N32" s="9"/>
    </row>
    <row r="33" spans="2:14" ht="17.25" customHeight="1" x14ac:dyDescent="0.35">
      <c r="I33" s="11" t="s">
        <v>2</v>
      </c>
      <c r="J33" s="105"/>
      <c r="K33" s="105"/>
      <c r="L33" s="29"/>
      <c r="N33" s="9"/>
    </row>
    <row r="35" spans="2:14" x14ac:dyDescent="0.35">
      <c r="B35" s="96" t="s">
        <v>94</v>
      </c>
      <c r="C35" s="97"/>
      <c r="D35" s="97"/>
      <c r="E35" s="97"/>
      <c r="F35" s="97"/>
      <c r="G35" s="97"/>
      <c r="H35" s="98"/>
      <c r="J35" s="106" t="s">
        <v>15</v>
      </c>
      <c r="K35" s="107"/>
      <c r="L35" s="108"/>
    </row>
    <row r="36" spans="2:14" x14ac:dyDescent="0.35">
      <c r="B36" s="99"/>
      <c r="C36" s="100"/>
      <c r="D36" s="100"/>
      <c r="E36" s="100"/>
      <c r="F36" s="100"/>
      <c r="G36" s="100"/>
      <c r="H36" s="101"/>
      <c r="J36" s="109"/>
      <c r="K36" s="110"/>
      <c r="L36" s="111"/>
    </row>
    <row r="37" spans="2:14" x14ac:dyDescent="0.35">
      <c r="B37" s="99"/>
      <c r="C37" s="100"/>
      <c r="D37" s="100"/>
      <c r="E37" s="100"/>
      <c r="F37" s="100"/>
      <c r="G37" s="100"/>
      <c r="H37" s="101"/>
      <c r="J37" s="109"/>
      <c r="K37" s="110"/>
      <c r="L37" s="111"/>
    </row>
    <row r="38" spans="2:14" x14ac:dyDescent="0.35">
      <c r="B38" s="99"/>
      <c r="C38" s="100"/>
      <c r="D38" s="100"/>
      <c r="E38" s="100"/>
      <c r="F38" s="100"/>
      <c r="G38" s="100"/>
      <c r="H38" s="101"/>
      <c r="J38" s="109"/>
      <c r="K38" s="110"/>
      <c r="L38" s="111"/>
    </row>
    <row r="39" spans="2:14" x14ac:dyDescent="0.35">
      <c r="B39" s="99"/>
      <c r="C39" s="100"/>
      <c r="D39" s="100"/>
      <c r="E39" s="100"/>
      <c r="F39" s="100"/>
      <c r="G39" s="100"/>
      <c r="H39" s="101"/>
      <c r="J39" s="109"/>
      <c r="K39" s="110"/>
      <c r="L39" s="111"/>
    </row>
    <row r="40" spans="2:14" x14ac:dyDescent="0.35">
      <c r="B40" s="102"/>
      <c r="C40" s="103"/>
      <c r="D40" s="103"/>
      <c r="E40" s="103"/>
      <c r="F40" s="103"/>
      <c r="G40" s="103"/>
      <c r="H40" s="104"/>
      <c r="J40" s="112"/>
      <c r="K40" s="113"/>
      <c r="L40" s="114"/>
    </row>
    <row r="41" spans="2:14" ht="14" thickBot="1" x14ac:dyDescent="0.4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20"/>
    </row>
    <row r="42" spans="2:14" ht="14" thickTop="1" x14ac:dyDescent="0.35">
      <c r="B42" s="95" t="s">
        <v>16</v>
      </c>
      <c r="C42" s="95"/>
      <c r="D42" s="95"/>
      <c r="E42" s="95"/>
      <c r="F42" s="95"/>
      <c r="G42" s="95"/>
      <c r="H42" s="95"/>
      <c r="I42" s="95"/>
      <c r="J42" s="95"/>
      <c r="K42" s="95"/>
      <c r="L42" s="95"/>
    </row>
    <row r="43" spans="2:14" x14ac:dyDescent="0.35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</row>
  </sheetData>
  <mergeCells count="51">
    <mergeCell ref="F9:H9"/>
    <mergeCell ref="G2:L2"/>
    <mergeCell ref="C16:H16"/>
    <mergeCell ref="J16:K16"/>
    <mergeCell ref="B10:D10"/>
    <mergeCell ref="B11:D11"/>
    <mergeCell ref="B12:D12"/>
    <mergeCell ref="B13:D13"/>
    <mergeCell ref="B14:D14"/>
    <mergeCell ref="J9:L9"/>
    <mergeCell ref="F11:H11"/>
    <mergeCell ref="F12:H12"/>
    <mergeCell ref="F13:H13"/>
    <mergeCell ref="F14:H14"/>
    <mergeCell ref="B42:L43"/>
    <mergeCell ref="C30:H30"/>
    <mergeCell ref="J31:K31"/>
    <mergeCell ref="J20:K20"/>
    <mergeCell ref="J21:K21"/>
    <mergeCell ref="J22:K22"/>
    <mergeCell ref="J23:K23"/>
    <mergeCell ref="J24:K24"/>
    <mergeCell ref="J25:K25"/>
    <mergeCell ref="C25:H26"/>
    <mergeCell ref="B35:H40"/>
    <mergeCell ref="J33:K33"/>
    <mergeCell ref="J35:L40"/>
    <mergeCell ref="J29:K29"/>
    <mergeCell ref="J30:K30"/>
    <mergeCell ref="C22:H22"/>
    <mergeCell ref="C19:H19"/>
    <mergeCell ref="J32:K32"/>
    <mergeCell ref="C24:H24"/>
    <mergeCell ref="J10:L10"/>
    <mergeCell ref="J11:L11"/>
    <mergeCell ref="J12:L12"/>
    <mergeCell ref="J13:L13"/>
    <mergeCell ref="J14:L14"/>
    <mergeCell ref="F10:H10"/>
    <mergeCell ref="C32:H32"/>
    <mergeCell ref="C31:H31"/>
    <mergeCell ref="J17:K17"/>
    <mergeCell ref="J19:K19"/>
    <mergeCell ref="C17:H17"/>
    <mergeCell ref="C18:H18"/>
    <mergeCell ref="J18:K18"/>
    <mergeCell ref="C23:H23"/>
    <mergeCell ref="C20:H21"/>
    <mergeCell ref="J26:K26"/>
    <mergeCell ref="J27:K27"/>
    <mergeCell ref="J28:K28"/>
  </mergeCells>
  <phoneticPr fontId="3" type="noConversion"/>
  <printOptions horizontalCentered="1"/>
  <pageMargins left="0.5" right="0.5" top="0.5" bottom="0.5" header="0.5" footer="0.25"/>
  <pageSetup scale="77" fitToHeight="0" orientation="portrait" r:id="rId1"/>
  <headerFooter alignWithMargins="0">
    <oddFooter>&amp;L&amp;"Arial,Regular"&amp;8&amp;K01+048© 2011-2014 Vertex42.com&amp;CPage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42"/>
  <sheetViews>
    <sheetView showGridLines="0" tabSelected="1" showWhiteSpace="0" view="pageLayout" zoomScale="85" zoomScalePageLayoutView="85" workbookViewId="0">
      <selection activeCell="E1" sqref="E1"/>
    </sheetView>
  </sheetViews>
  <sheetFormatPr defaultColWidth="8.8984375" defaultRowHeight="13.5" x14ac:dyDescent="0.35"/>
  <cols>
    <col min="1" max="1" width="4.59765625" style="1" customWidth="1"/>
    <col min="2" max="2" width="11.3984375" style="1" customWidth="1"/>
    <col min="3" max="3" width="11.8984375" style="1" customWidth="1"/>
    <col min="4" max="4" width="12.69921875" style="1" customWidth="1"/>
    <col min="5" max="5" width="6.69921875" style="1" customWidth="1"/>
    <col min="6" max="7" width="11.3984375" style="1" customWidth="1"/>
    <col min="8" max="8" width="9.796875" style="1" customWidth="1"/>
    <col min="9" max="9" width="10.8984375" style="33" customWidth="1"/>
    <col min="10" max="10" width="8.296875" style="1" customWidth="1"/>
    <col min="11" max="11" width="4.19921875" style="1" customWidth="1"/>
    <col min="12" max="12" width="19.8984375" style="1" customWidth="1"/>
    <col min="13" max="13" width="14.8984375" style="1" bestFit="1" customWidth="1"/>
    <col min="14" max="14" width="19" style="1" customWidth="1"/>
    <col min="15" max="16384" width="8.8984375" style="1"/>
  </cols>
  <sheetData>
    <row r="2" spans="2:14" ht="35" x14ac:dyDescent="0.7">
      <c r="B2" s="10" t="s">
        <v>17</v>
      </c>
      <c r="C2" s="8"/>
      <c r="D2" s="8"/>
      <c r="E2" s="8"/>
      <c r="F2" s="8"/>
      <c r="G2" s="115" t="s">
        <v>10</v>
      </c>
      <c r="H2" s="115"/>
      <c r="I2" s="115"/>
      <c r="J2" s="115"/>
      <c r="K2" s="115"/>
      <c r="L2" s="115"/>
    </row>
    <row r="3" spans="2:14" ht="14" x14ac:dyDescent="0.35">
      <c r="B3" s="2" t="s">
        <v>98</v>
      </c>
      <c r="C3" s="2"/>
      <c r="D3" s="2"/>
      <c r="E3" s="2"/>
      <c r="F3" s="2"/>
      <c r="G3" s="2"/>
      <c r="H3" s="2"/>
      <c r="I3" s="31"/>
      <c r="J3" s="3" t="s">
        <v>7</v>
      </c>
      <c r="L3" s="21">
        <v>45942</v>
      </c>
      <c r="N3" s="16"/>
    </row>
    <row r="4" spans="2:14" x14ac:dyDescent="0.35">
      <c r="B4" s="2" t="s">
        <v>33</v>
      </c>
      <c r="C4" s="4"/>
      <c r="D4" s="4"/>
      <c r="E4" s="4"/>
      <c r="F4" s="4"/>
      <c r="G4" s="4"/>
      <c r="H4" s="4"/>
      <c r="I4" s="32"/>
      <c r="J4" s="3" t="s">
        <v>8</v>
      </c>
      <c r="L4" s="24" t="s">
        <v>101</v>
      </c>
      <c r="N4" s="5"/>
    </row>
    <row r="5" spans="2:14" x14ac:dyDescent="0.35">
      <c r="B5" s="2" t="s">
        <v>34</v>
      </c>
      <c r="C5" s="4"/>
      <c r="D5" s="4"/>
      <c r="E5" s="4"/>
      <c r="F5" s="4"/>
      <c r="G5" s="4"/>
      <c r="H5" s="4"/>
      <c r="I5" s="32"/>
      <c r="J5" s="3"/>
      <c r="L5" s="24"/>
      <c r="N5" s="5"/>
    </row>
    <row r="6" spans="2:14" x14ac:dyDescent="0.35">
      <c r="B6" s="2" t="s">
        <v>35</v>
      </c>
      <c r="C6" s="2"/>
      <c r="D6" s="6"/>
      <c r="E6" s="6"/>
      <c r="F6" s="6"/>
      <c r="G6" s="6"/>
      <c r="H6" s="6"/>
      <c r="I6" s="31"/>
      <c r="J6" s="7"/>
      <c r="L6" s="22"/>
      <c r="N6" s="9"/>
    </row>
    <row r="7" spans="2:14" x14ac:dyDescent="0.35">
      <c r="B7" s="2" t="s">
        <v>102</v>
      </c>
      <c r="C7" s="2"/>
      <c r="D7" s="6"/>
      <c r="E7" s="6"/>
      <c r="F7" s="6"/>
      <c r="G7" s="6"/>
      <c r="H7" s="6"/>
      <c r="I7" s="31"/>
      <c r="J7" s="7"/>
      <c r="L7" s="22"/>
      <c r="N7" s="9"/>
    </row>
    <row r="8" spans="2:14" ht="15" customHeight="1" x14ac:dyDescent="0.35">
      <c r="B8" s="2" t="s">
        <v>99</v>
      </c>
      <c r="C8" s="2">
        <v>982621364</v>
      </c>
      <c r="D8" s="4"/>
      <c r="E8" s="4"/>
      <c r="F8" s="4"/>
      <c r="G8" s="4"/>
      <c r="H8" s="4"/>
      <c r="I8" s="31"/>
      <c r="N8" s="9"/>
    </row>
    <row r="9" spans="2:14" x14ac:dyDescent="0.35">
      <c r="B9" s="2"/>
      <c r="C9" s="2"/>
      <c r="D9" s="6"/>
      <c r="E9" s="6"/>
      <c r="F9" s="6"/>
      <c r="G9" s="6"/>
      <c r="H9" s="6"/>
      <c r="I9" s="31"/>
      <c r="J9" s="3"/>
      <c r="N9" s="9"/>
    </row>
    <row r="10" spans="2:14" x14ac:dyDescent="0.35">
      <c r="N10" s="9"/>
    </row>
    <row r="11" spans="2:14" ht="14.5" x14ac:dyDescent="0.35">
      <c r="B11" s="119" t="s">
        <v>3</v>
      </c>
      <c r="C11" s="119"/>
      <c r="D11" s="119"/>
      <c r="F11" s="91"/>
      <c r="G11" s="91"/>
      <c r="H11" s="91"/>
      <c r="I11" s="31"/>
      <c r="J11" s="90"/>
      <c r="K11" s="90"/>
      <c r="L11" s="90"/>
      <c r="N11" s="9"/>
    </row>
    <row r="12" spans="2:14" x14ac:dyDescent="0.35">
      <c r="B12" s="78" t="s">
        <v>103</v>
      </c>
      <c r="C12" s="2"/>
      <c r="D12" s="2"/>
      <c r="E12" s="2"/>
      <c r="F12" s="91"/>
      <c r="G12" s="91"/>
      <c r="H12" s="91"/>
      <c r="I12" s="31"/>
      <c r="J12" s="90"/>
      <c r="K12" s="90"/>
      <c r="L12" s="90"/>
      <c r="N12" s="9"/>
    </row>
    <row r="13" spans="2:14" x14ac:dyDescent="0.35">
      <c r="B13" s="91"/>
      <c r="C13" s="91"/>
      <c r="D13" s="91"/>
      <c r="E13" s="2"/>
      <c r="F13" s="91"/>
      <c r="G13" s="91"/>
      <c r="H13" s="91"/>
      <c r="I13" s="31"/>
      <c r="J13" s="90"/>
      <c r="K13" s="90"/>
      <c r="L13" s="90"/>
      <c r="N13" s="9"/>
    </row>
    <row r="14" spans="2:14" x14ac:dyDescent="0.35">
      <c r="B14" s="91"/>
      <c r="C14" s="91"/>
      <c r="D14" s="91"/>
      <c r="E14" s="2"/>
      <c r="F14" s="91"/>
      <c r="G14" s="91"/>
      <c r="H14" s="91"/>
      <c r="I14" s="31"/>
      <c r="J14" s="90"/>
      <c r="K14" s="90"/>
      <c r="L14" s="90"/>
      <c r="N14" s="9"/>
    </row>
    <row r="15" spans="2:14" ht="14.5" x14ac:dyDescent="0.35">
      <c r="B15" s="119" t="s">
        <v>25</v>
      </c>
      <c r="C15" s="119"/>
      <c r="D15" s="119"/>
      <c r="E15" s="2"/>
      <c r="F15" s="91"/>
      <c r="G15" s="91"/>
      <c r="H15" s="91"/>
      <c r="I15" s="31"/>
      <c r="J15" s="90"/>
      <c r="K15" s="90"/>
      <c r="L15" s="90"/>
      <c r="N15" s="14"/>
    </row>
    <row r="16" spans="2:14" x14ac:dyDescent="0.35">
      <c r="B16" s="91"/>
      <c r="C16" s="91"/>
      <c r="D16" s="91"/>
      <c r="E16" s="2"/>
      <c r="F16" s="91"/>
      <c r="G16" s="91"/>
      <c r="H16" s="91"/>
      <c r="I16" s="31"/>
      <c r="J16" s="90"/>
      <c r="K16" s="90"/>
      <c r="L16" s="90"/>
      <c r="M16" s="15"/>
    </row>
    <row r="17" spans="2:13" ht="14" thickBot="1" x14ac:dyDescent="0.4">
      <c r="M17" s="15"/>
    </row>
    <row r="18" spans="2:13" ht="32.25" customHeight="1" thickBot="1" x14ac:dyDescent="0.4">
      <c r="B18" s="23" t="s">
        <v>14</v>
      </c>
      <c r="C18" s="116" t="s">
        <v>1</v>
      </c>
      <c r="D18" s="117"/>
      <c r="E18" s="117"/>
      <c r="F18" s="117"/>
      <c r="G18" s="117"/>
      <c r="H18" s="118"/>
      <c r="I18" s="34" t="s">
        <v>100</v>
      </c>
      <c r="J18" s="116" t="s">
        <v>29</v>
      </c>
      <c r="K18" s="118"/>
      <c r="L18" s="23" t="s">
        <v>30</v>
      </c>
      <c r="M18" s="9"/>
    </row>
    <row r="19" spans="2:13" x14ac:dyDescent="0.35">
      <c r="B19" s="26"/>
      <c r="C19" s="86"/>
      <c r="D19" s="87"/>
      <c r="E19" s="87"/>
      <c r="F19" s="87"/>
      <c r="G19" s="87"/>
      <c r="H19" s="88"/>
      <c r="I19" s="35"/>
      <c r="J19" s="85"/>
      <c r="K19" s="85"/>
      <c r="L19" s="27"/>
      <c r="M19" s="9"/>
    </row>
    <row r="20" spans="2:13" x14ac:dyDescent="0.35">
      <c r="B20" s="26">
        <v>1</v>
      </c>
      <c r="C20" s="86" t="s">
        <v>104</v>
      </c>
      <c r="D20" s="87"/>
      <c r="E20" s="87"/>
      <c r="F20" s="87"/>
      <c r="G20" s="87"/>
      <c r="H20" s="88"/>
      <c r="I20" s="35">
        <v>1</v>
      </c>
      <c r="J20" s="85">
        <v>530</v>
      </c>
      <c r="K20" s="85"/>
      <c r="L20" s="30">
        <f>J20*I20</f>
        <v>530</v>
      </c>
      <c r="M20" s="9"/>
    </row>
    <row r="21" spans="2:13" ht="13.5" customHeight="1" x14ac:dyDescent="0.35">
      <c r="B21" s="26"/>
      <c r="C21" s="86"/>
      <c r="D21" s="87"/>
      <c r="E21" s="87"/>
      <c r="F21" s="87"/>
      <c r="G21" s="87"/>
      <c r="H21" s="88"/>
      <c r="I21" s="35"/>
      <c r="J21" s="85"/>
      <c r="K21" s="85"/>
      <c r="L21" s="30"/>
      <c r="M21" s="9"/>
    </row>
    <row r="22" spans="2:13" x14ac:dyDescent="0.35">
      <c r="B22" s="26"/>
      <c r="C22" s="86"/>
      <c r="D22" s="87"/>
      <c r="E22" s="87"/>
      <c r="F22" s="87"/>
      <c r="G22" s="87"/>
      <c r="H22" s="88"/>
      <c r="I22" s="35"/>
      <c r="J22" s="85"/>
      <c r="K22" s="85"/>
      <c r="L22" s="27"/>
      <c r="M22" s="9"/>
    </row>
    <row r="23" spans="2:13" x14ac:dyDescent="0.35">
      <c r="B23" s="26"/>
      <c r="C23" s="86"/>
      <c r="D23" s="87"/>
      <c r="E23" s="87"/>
      <c r="F23" s="87"/>
      <c r="G23" s="87"/>
      <c r="H23" s="88"/>
      <c r="I23" s="35"/>
      <c r="J23" s="85"/>
      <c r="K23" s="85"/>
      <c r="L23" s="27"/>
      <c r="M23" s="9"/>
    </row>
    <row r="24" spans="2:13" x14ac:dyDescent="0.35">
      <c r="B24" s="26"/>
      <c r="C24" s="86"/>
      <c r="D24" s="87"/>
      <c r="E24" s="87"/>
      <c r="F24" s="87"/>
      <c r="G24" s="87"/>
      <c r="H24" s="88"/>
      <c r="I24" s="35"/>
      <c r="J24" s="85"/>
      <c r="K24" s="85"/>
      <c r="L24" s="27"/>
      <c r="M24" s="9"/>
    </row>
    <row r="25" spans="2:13" x14ac:dyDescent="0.35">
      <c r="B25" s="26"/>
      <c r="C25" s="86"/>
      <c r="D25" s="87"/>
      <c r="E25" s="87"/>
      <c r="F25" s="87"/>
      <c r="G25" s="87"/>
      <c r="H25" s="88"/>
      <c r="I25" s="35"/>
      <c r="J25" s="85"/>
      <c r="K25" s="85"/>
      <c r="L25" s="30"/>
      <c r="M25" s="9"/>
    </row>
    <row r="26" spans="2:13" x14ac:dyDescent="0.35">
      <c r="B26" s="26"/>
      <c r="C26" s="86"/>
      <c r="D26" s="87"/>
      <c r="E26" s="87"/>
      <c r="F26" s="87"/>
      <c r="G26" s="87"/>
      <c r="H26" s="88"/>
      <c r="I26" s="35"/>
      <c r="J26" s="85"/>
      <c r="K26" s="85"/>
      <c r="L26" s="27"/>
      <c r="M26" s="9"/>
    </row>
    <row r="27" spans="2:13" x14ac:dyDescent="0.35">
      <c r="B27" s="12"/>
      <c r="C27" s="39"/>
      <c r="D27" s="40"/>
      <c r="E27" s="40"/>
      <c r="F27" s="40"/>
      <c r="G27" s="40"/>
      <c r="H27" s="41"/>
      <c r="I27" s="35"/>
      <c r="J27" s="85"/>
      <c r="K27" s="85"/>
      <c r="L27" s="27"/>
      <c r="M27" s="9"/>
    </row>
    <row r="28" spans="2:13" x14ac:dyDescent="0.35">
      <c r="B28" s="12"/>
      <c r="I28" s="35"/>
      <c r="J28" s="85"/>
      <c r="K28" s="85"/>
      <c r="L28" s="27"/>
      <c r="M28" s="9"/>
    </row>
    <row r="29" spans="2:13" x14ac:dyDescent="0.35">
      <c r="B29" s="12"/>
      <c r="I29" s="35"/>
      <c r="J29" s="85"/>
      <c r="K29" s="85"/>
      <c r="L29" s="27"/>
      <c r="M29" s="9"/>
    </row>
    <row r="30" spans="2:13" x14ac:dyDescent="0.35">
      <c r="B30" s="12"/>
      <c r="C30" s="1" t="s">
        <v>31</v>
      </c>
      <c r="I30" s="122" t="s">
        <v>20</v>
      </c>
      <c r="J30" s="123"/>
      <c r="K30" s="124"/>
      <c r="L30" s="70">
        <f>SUM(L20:L25)*0.15</f>
        <v>79.5</v>
      </c>
      <c r="M30" s="9"/>
    </row>
    <row r="31" spans="2:13" x14ac:dyDescent="0.35">
      <c r="B31" s="12"/>
      <c r="C31" s="79"/>
      <c r="D31" s="80"/>
      <c r="E31" s="80"/>
      <c r="F31" s="80"/>
      <c r="G31" s="80"/>
      <c r="H31" s="81"/>
      <c r="I31" s="122" t="s">
        <v>97</v>
      </c>
      <c r="J31" s="123"/>
      <c r="K31" s="124"/>
      <c r="L31" s="71">
        <f>SUM(L20:L30)</f>
        <v>609.5</v>
      </c>
      <c r="M31" s="9"/>
    </row>
    <row r="32" spans="2:13" ht="17.25" customHeight="1" x14ac:dyDescent="0.35">
      <c r="B32" s="72"/>
      <c r="C32" s="73"/>
      <c r="D32" s="73"/>
      <c r="E32" s="73"/>
      <c r="F32" s="73"/>
      <c r="G32" s="73"/>
      <c r="H32" s="74"/>
      <c r="I32" s="37" t="s">
        <v>2</v>
      </c>
      <c r="J32" s="105"/>
      <c r="K32" s="105"/>
      <c r="L32" s="29"/>
      <c r="M32" s="9"/>
    </row>
    <row r="33" spans="2:12" x14ac:dyDescent="0.35">
      <c r="B33" s="77"/>
      <c r="C33" s="75"/>
      <c r="D33" s="75"/>
      <c r="E33" s="75"/>
      <c r="F33" s="75"/>
      <c r="G33" s="75"/>
      <c r="H33" s="76"/>
    </row>
    <row r="34" spans="2:12" x14ac:dyDescent="0.35">
      <c r="B34" s="96"/>
      <c r="C34" s="97"/>
      <c r="D34" s="97"/>
      <c r="E34" s="97"/>
      <c r="F34" s="97"/>
      <c r="G34" s="97"/>
      <c r="H34" s="98"/>
      <c r="J34" s="121" t="s">
        <v>15</v>
      </c>
      <c r="K34" s="110"/>
      <c r="L34" s="110"/>
    </row>
    <row r="35" spans="2:12" x14ac:dyDescent="0.35">
      <c r="B35" s="99"/>
      <c r="C35" s="120"/>
      <c r="D35" s="120"/>
      <c r="E35" s="120"/>
      <c r="F35" s="120"/>
      <c r="G35" s="120"/>
      <c r="H35" s="101"/>
      <c r="J35" s="110"/>
      <c r="K35" s="110"/>
      <c r="L35" s="110"/>
    </row>
    <row r="36" spans="2:12" x14ac:dyDescent="0.35">
      <c r="B36" s="99"/>
      <c r="C36" s="120"/>
      <c r="D36" s="120"/>
      <c r="E36" s="120"/>
      <c r="F36" s="120"/>
      <c r="G36" s="120"/>
      <c r="H36" s="101"/>
      <c r="J36" s="110"/>
      <c r="K36" s="110"/>
      <c r="L36" s="110"/>
    </row>
    <row r="37" spans="2:12" x14ac:dyDescent="0.35">
      <c r="B37" s="99"/>
      <c r="C37" s="120"/>
      <c r="D37" s="120"/>
      <c r="E37" s="120"/>
      <c r="F37" s="120"/>
      <c r="G37" s="120"/>
      <c r="H37" s="101"/>
      <c r="J37" s="110"/>
      <c r="K37" s="110"/>
      <c r="L37" s="110"/>
    </row>
    <row r="38" spans="2:12" x14ac:dyDescent="0.35">
      <c r="B38" s="99"/>
      <c r="C38" s="120"/>
      <c r="D38" s="120"/>
      <c r="E38" s="120"/>
      <c r="F38" s="120"/>
      <c r="G38" s="120"/>
      <c r="H38" s="101"/>
      <c r="J38" s="110"/>
      <c r="K38" s="110"/>
      <c r="L38" s="110"/>
    </row>
    <row r="39" spans="2:12" x14ac:dyDescent="0.35">
      <c r="B39" s="102"/>
      <c r="C39" s="103"/>
      <c r="D39" s="103"/>
      <c r="E39" s="103"/>
      <c r="F39" s="103"/>
      <c r="G39" s="103"/>
      <c r="H39" s="104"/>
      <c r="J39" s="110"/>
      <c r="K39" s="110"/>
      <c r="L39" s="110"/>
    </row>
    <row r="40" spans="2:12" ht="14" thickBot="1" x14ac:dyDescent="0.4">
      <c r="B40" s="19"/>
      <c r="C40" s="19"/>
      <c r="D40" s="19"/>
      <c r="E40" s="19"/>
      <c r="F40" s="19"/>
      <c r="G40" s="19"/>
      <c r="H40" s="19"/>
      <c r="I40" s="38"/>
      <c r="J40" s="19"/>
      <c r="K40" s="19"/>
      <c r="L40" s="19"/>
    </row>
    <row r="41" spans="2:12" ht="14" thickTop="1" x14ac:dyDescent="0.35">
      <c r="B41" s="95" t="s">
        <v>16</v>
      </c>
      <c r="C41" s="95"/>
      <c r="D41" s="95"/>
      <c r="E41" s="95"/>
      <c r="F41" s="95"/>
      <c r="G41" s="95"/>
      <c r="H41" s="95"/>
      <c r="I41" s="95"/>
      <c r="J41" s="95"/>
      <c r="K41" s="95"/>
      <c r="L41" s="95"/>
    </row>
    <row r="42" spans="2:12" x14ac:dyDescent="0.35"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</row>
  </sheetData>
  <mergeCells count="46">
    <mergeCell ref="G2:L2"/>
    <mergeCell ref="B11:D11"/>
    <mergeCell ref="F11:H11"/>
    <mergeCell ref="J11:L11"/>
    <mergeCell ref="F12:H12"/>
    <mergeCell ref="J12:L12"/>
    <mergeCell ref="B13:D13"/>
    <mergeCell ref="F13:H13"/>
    <mergeCell ref="J13:L13"/>
    <mergeCell ref="B14:D14"/>
    <mergeCell ref="F14:H14"/>
    <mergeCell ref="J14:L14"/>
    <mergeCell ref="C18:H18"/>
    <mergeCell ref="J18:K18"/>
    <mergeCell ref="C19:H19"/>
    <mergeCell ref="J19:K19"/>
    <mergeCell ref="C20:H20"/>
    <mergeCell ref="J20:K20"/>
    <mergeCell ref="B15:D15"/>
    <mergeCell ref="F15:H15"/>
    <mergeCell ref="J15:L15"/>
    <mergeCell ref="B16:D16"/>
    <mergeCell ref="F16:H16"/>
    <mergeCell ref="J16:L16"/>
    <mergeCell ref="B41:L42"/>
    <mergeCell ref="J28:K28"/>
    <mergeCell ref="J29:K29"/>
    <mergeCell ref="C31:H31"/>
    <mergeCell ref="J32:K32"/>
    <mergeCell ref="B34:H39"/>
    <mergeCell ref="J34:L39"/>
    <mergeCell ref="I30:K30"/>
    <mergeCell ref="I31:K31"/>
    <mergeCell ref="J27:K27"/>
    <mergeCell ref="C26:H26"/>
    <mergeCell ref="J21:K21"/>
    <mergeCell ref="J22:K22"/>
    <mergeCell ref="C21:H21"/>
    <mergeCell ref="C22:H22"/>
    <mergeCell ref="C25:H25"/>
    <mergeCell ref="J25:K25"/>
    <mergeCell ref="J26:K26"/>
    <mergeCell ref="C24:H24"/>
    <mergeCell ref="J24:K24"/>
    <mergeCell ref="C23:H23"/>
    <mergeCell ref="J23:K23"/>
  </mergeCells>
  <printOptions horizontalCentered="1"/>
  <pageMargins left="0.5" right="0.5" top="0.5" bottom="0.5" header="0.5" footer="0.25"/>
  <pageSetup scale="82" fitToHeight="0" orientation="portrait" r:id="rId1"/>
  <headerFooter alignWithMargins="0"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43"/>
  <sheetViews>
    <sheetView workbookViewId="0">
      <selection sqref="A1:XFD1048576"/>
    </sheetView>
  </sheetViews>
  <sheetFormatPr defaultColWidth="8.8984375" defaultRowHeight="13.5" x14ac:dyDescent="0.35"/>
  <cols>
    <col min="1" max="1" width="4.59765625" style="1" customWidth="1"/>
    <col min="2" max="2" width="11.3984375" style="1" customWidth="1"/>
    <col min="3" max="3" width="11.8984375" style="1" customWidth="1"/>
    <col min="4" max="4" width="12.69921875" style="1" customWidth="1"/>
    <col min="5" max="5" width="6.69921875" style="1" customWidth="1"/>
    <col min="6" max="7" width="11.3984375" style="1" customWidth="1"/>
    <col min="8" max="8" width="12.69921875" style="1" customWidth="1"/>
    <col min="9" max="9" width="8.09765625" style="1" customWidth="1"/>
    <col min="10" max="10" width="8.296875" style="1" customWidth="1"/>
    <col min="11" max="11" width="5.296875" style="1" customWidth="1"/>
    <col min="12" max="12" width="13.09765625" style="1" customWidth="1"/>
    <col min="13" max="13" width="14.296875" style="1" customWidth="1"/>
    <col min="14" max="14" width="19" style="1" customWidth="1"/>
    <col min="15" max="16384" width="8.8984375" style="1"/>
  </cols>
  <sheetData>
    <row r="2" spans="2:14" ht="35" x14ac:dyDescent="0.7">
      <c r="B2" s="10" t="s">
        <v>17</v>
      </c>
      <c r="C2" s="8"/>
      <c r="D2" s="8"/>
      <c r="E2" s="8"/>
      <c r="F2" s="8"/>
      <c r="G2" s="115" t="s">
        <v>10</v>
      </c>
      <c r="H2" s="115"/>
      <c r="I2" s="115"/>
      <c r="J2" s="115"/>
      <c r="K2" s="115"/>
      <c r="L2" s="115"/>
    </row>
    <row r="3" spans="2:14" ht="14" x14ac:dyDescent="0.35">
      <c r="B3" s="25" t="s">
        <v>9</v>
      </c>
      <c r="C3" s="2"/>
      <c r="D3" s="2"/>
      <c r="E3" s="2"/>
      <c r="F3" s="2"/>
      <c r="G3" s="2"/>
      <c r="H3" s="2"/>
      <c r="I3" s="2"/>
      <c r="J3" s="3" t="s">
        <v>7</v>
      </c>
      <c r="L3" s="21">
        <v>45494</v>
      </c>
      <c r="N3" s="16"/>
    </row>
    <row r="4" spans="2:14" x14ac:dyDescent="0.35">
      <c r="B4" s="25" t="s">
        <v>11</v>
      </c>
      <c r="C4" s="4"/>
      <c r="D4" s="4"/>
      <c r="E4" s="4"/>
      <c r="F4" s="4"/>
      <c r="G4" s="4"/>
      <c r="H4" s="4"/>
      <c r="I4" s="4"/>
      <c r="J4" s="3" t="s">
        <v>8</v>
      </c>
      <c r="L4" s="24" t="s">
        <v>26</v>
      </c>
      <c r="N4" s="5"/>
    </row>
    <row r="5" spans="2:14" ht="15" customHeight="1" x14ac:dyDescent="0.35">
      <c r="B5" s="25" t="s">
        <v>0</v>
      </c>
      <c r="C5" s="2"/>
      <c r="D5" s="4"/>
      <c r="E5" s="4"/>
      <c r="F5" s="4"/>
      <c r="G5" s="4"/>
      <c r="H5" s="4"/>
      <c r="I5" s="2"/>
      <c r="N5" s="9"/>
    </row>
    <row r="6" spans="2:14" x14ac:dyDescent="0.35">
      <c r="B6" s="25" t="s">
        <v>12</v>
      </c>
      <c r="C6" s="2"/>
      <c r="D6" s="6"/>
      <c r="E6" s="6"/>
      <c r="F6" s="6"/>
      <c r="G6" s="6"/>
      <c r="H6" s="6"/>
      <c r="I6" s="2"/>
      <c r="J6" s="7"/>
      <c r="L6" s="22"/>
      <c r="N6" s="9"/>
    </row>
    <row r="7" spans="2:14" x14ac:dyDescent="0.35">
      <c r="B7" s="25" t="s">
        <v>13</v>
      </c>
      <c r="C7" s="2"/>
      <c r="D7" s="6"/>
      <c r="E7" s="6"/>
      <c r="F7" s="6"/>
      <c r="G7" s="6"/>
      <c r="H7" s="6"/>
      <c r="I7" s="2"/>
      <c r="J7" s="3"/>
      <c r="N7" s="9"/>
    </row>
    <row r="8" spans="2:14" x14ac:dyDescent="0.35">
      <c r="N8" s="9"/>
    </row>
    <row r="9" spans="2:14" ht="14.5" x14ac:dyDescent="0.35">
      <c r="B9" s="119" t="s">
        <v>3</v>
      </c>
      <c r="C9" s="119"/>
      <c r="D9" s="119"/>
      <c r="F9" s="91"/>
      <c r="G9" s="91"/>
      <c r="H9" s="91"/>
      <c r="I9" s="2"/>
      <c r="J9" s="90"/>
      <c r="K9" s="90"/>
      <c r="L9" s="90"/>
      <c r="N9" s="9"/>
    </row>
    <row r="10" spans="2:14" x14ac:dyDescent="0.35">
      <c r="B10" s="91" t="s">
        <v>18</v>
      </c>
      <c r="C10" s="91"/>
      <c r="D10" s="91"/>
      <c r="E10" s="2"/>
      <c r="F10" s="91"/>
      <c r="G10" s="91"/>
      <c r="H10" s="91"/>
      <c r="I10" s="2"/>
      <c r="J10" s="90"/>
      <c r="K10" s="90"/>
      <c r="L10" s="90"/>
      <c r="N10" s="9"/>
    </row>
    <row r="11" spans="2:14" x14ac:dyDescent="0.35">
      <c r="B11" s="91" t="s">
        <v>19</v>
      </c>
      <c r="C11" s="91"/>
      <c r="D11" s="91"/>
      <c r="E11" s="2"/>
      <c r="F11" s="91"/>
      <c r="G11" s="91"/>
      <c r="H11" s="91"/>
      <c r="I11" s="2"/>
      <c r="J11" s="90"/>
      <c r="K11" s="90"/>
      <c r="L11" s="90"/>
      <c r="N11" s="9"/>
    </row>
    <row r="12" spans="2:14" x14ac:dyDescent="0.35">
      <c r="B12" s="91"/>
      <c r="C12" s="91"/>
      <c r="D12" s="91"/>
      <c r="E12" s="2"/>
      <c r="F12" s="91"/>
      <c r="G12" s="91"/>
      <c r="H12" s="91"/>
      <c r="I12" s="2"/>
      <c r="J12" s="90"/>
      <c r="K12" s="90"/>
      <c r="L12" s="90"/>
      <c r="N12" s="9"/>
    </row>
    <row r="13" spans="2:14" ht="14.5" x14ac:dyDescent="0.35">
      <c r="B13" s="119" t="s">
        <v>25</v>
      </c>
      <c r="C13" s="119"/>
      <c r="D13" s="119"/>
      <c r="E13" s="2"/>
      <c r="F13" s="91"/>
      <c r="G13" s="91"/>
      <c r="H13" s="91"/>
      <c r="I13" s="2"/>
      <c r="J13" s="90"/>
      <c r="K13" s="90"/>
      <c r="L13" s="90"/>
      <c r="N13" s="14"/>
    </row>
    <row r="14" spans="2:14" x14ac:dyDescent="0.35">
      <c r="B14" s="91"/>
      <c r="C14" s="91"/>
      <c r="D14" s="91"/>
      <c r="E14" s="2"/>
      <c r="F14" s="91"/>
      <c r="G14" s="91"/>
      <c r="H14" s="91"/>
      <c r="I14" s="2"/>
      <c r="J14" s="90"/>
      <c r="K14" s="90"/>
      <c r="L14" s="90"/>
      <c r="N14" s="15"/>
    </row>
    <row r="15" spans="2:14" ht="14" thickBot="1" x14ac:dyDescent="0.4">
      <c r="N15" s="15"/>
    </row>
    <row r="16" spans="2:14" ht="32.25" customHeight="1" thickBot="1" x14ac:dyDescent="0.4">
      <c r="B16" s="23" t="s">
        <v>14</v>
      </c>
      <c r="C16" s="116" t="s">
        <v>1</v>
      </c>
      <c r="D16" s="117"/>
      <c r="E16" s="117"/>
      <c r="F16" s="117"/>
      <c r="G16" s="117"/>
      <c r="H16" s="118"/>
      <c r="I16" s="23" t="s">
        <v>4</v>
      </c>
      <c r="J16" s="116" t="s">
        <v>6</v>
      </c>
      <c r="K16" s="118"/>
      <c r="L16" s="23" t="s">
        <v>20</v>
      </c>
      <c r="M16" s="23" t="s">
        <v>5</v>
      </c>
      <c r="N16" s="9"/>
    </row>
    <row r="17" spans="2:14" x14ac:dyDescent="0.35">
      <c r="B17" s="26"/>
      <c r="C17" s="79"/>
      <c r="D17" s="80"/>
      <c r="E17" s="80"/>
      <c r="F17" s="80"/>
      <c r="G17" s="80"/>
      <c r="H17" s="81"/>
      <c r="I17" s="17"/>
      <c r="J17" s="85"/>
      <c r="K17" s="85"/>
      <c r="L17" s="27"/>
      <c r="M17" s="27"/>
      <c r="N17" s="9"/>
    </row>
    <row r="18" spans="2:14" x14ac:dyDescent="0.35">
      <c r="B18" s="26"/>
      <c r="C18" s="86"/>
      <c r="D18" s="87"/>
      <c r="E18" s="87"/>
      <c r="F18" s="87"/>
      <c r="G18" s="87"/>
      <c r="H18" s="88"/>
      <c r="I18" s="17"/>
      <c r="J18" s="85"/>
      <c r="K18" s="85"/>
      <c r="L18" s="27"/>
      <c r="M18" s="27"/>
      <c r="N18" s="9"/>
    </row>
    <row r="19" spans="2:14" x14ac:dyDescent="0.35">
      <c r="B19" s="26">
        <v>1</v>
      </c>
      <c r="C19" s="86" t="s">
        <v>21</v>
      </c>
      <c r="D19" s="87"/>
      <c r="E19" s="87"/>
      <c r="F19" s="87"/>
      <c r="G19" s="87"/>
      <c r="H19" s="88"/>
      <c r="I19" s="17">
        <v>1</v>
      </c>
      <c r="J19" s="85">
        <v>365</v>
      </c>
      <c r="K19" s="85"/>
      <c r="L19" s="27">
        <f>J19*15%</f>
        <v>54.75</v>
      </c>
      <c r="M19" s="27">
        <f>J19+L19</f>
        <v>419.75</v>
      </c>
      <c r="N19" s="9"/>
    </row>
    <row r="20" spans="2:14" ht="13.5" customHeight="1" x14ac:dyDescent="0.35">
      <c r="B20" s="26"/>
      <c r="C20" s="82" t="s">
        <v>24</v>
      </c>
      <c r="D20" s="83"/>
      <c r="E20" s="83"/>
      <c r="F20" s="83"/>
      <c r="G20" s="83"/>
      <c r="H20" s="84"/>
      <c r="I20" s="17"/>
      <c r="J20" s="85"/>
      <c r="K20" s="85"/>
      <c r="L20" s="27"/>
      <c r="M20" s="27"/>
      <c r="N20" s="9"/>
    </row>
    <row r="21" spans="2:14" x14ac:dyDescent="0.35">
      <c r="B21" s="26"/>
      <c r="C21" s="82"/>
      <c r="D21" s="83"/>
      <c r="E21" s="83"/>
      <c r="F21" s="83"/>
      <c r="G21" s="83"/>
      <c r="H21" s="84"/>
      <c r="I21" s="17"/>
      <c r="J21" s="85"/>
      <c r="K21" s="85"/>
      <c r="L21" s="27"/>
      <c r="M21" s="27"/>
      <c r="N21" s="9"/>
    </row>
    <row r="22" spans="2:14" x14ac:dyDescent="0.35">
      <c r="B22" s="26"/>
      <c r="C22" s="79"/>
      <c r="D22" s="80"/>
      <c r="E22" s="80"/>
      <c r="F22" s="80"/>
      <c r="G22" s="80"/>
      <c r="H22" s="81"/>
      <c r="I22" s="17"/>
      <c r="J22" s="85"/>
      <c r="K22" s="85"/>
      <c r="L22" s="27"/>
      <c r="M22" s="27"/>
      <c r="N22" s="9"/>
    </row>
    <row r="23" spans="2:14" x14ac:dyDescent="0.35">
      <c r="B23" s="26"/>
      <c r="C23" s="79"/>
      <c r="D23" s="80"/>
      <c r="E23" s="80"/>
      <c r="F23" s="80"/>
      <c r="G23" s="80"/>
      <c r="H23" s="81"/>
      <c r="I23" s="17"/>
      <c r="J23" s="85"/>
      <c r="K23" s="85"/>
      <c r="L23" s="27"/>
      <c r="M23" s="27"/>
      <c r="N23" s="9"/>
    </row>
    <row r="24" spans="2:14" x14ac:dyDescent="0.35">
      <c r="B24" s="26">
        <v>2</v>
      </c>
      <c r="C24" s="86" t="s">
        <v>22</v>
      </c>
      <c r="D24" s="87"/>
      <c r="E24" s="87"/>
      <c r="F24" s="87"/>
      <c r="G24" s="87"/>
      <c r="H24" s="88"/>
      <c r="I24" s="17">
        <v>1</v>
      </c>
      <c r="J24" s="85">
        <v>385</v>
      </c>
      <c r="K24" s="85"/>
      <c r="L24" s="27">
        <f>J24*15%</f>
        <v>57.75</v>
      </c>
      <c r="M24" s="27">
        <f>J24+L24</f>
        <v>442.75</v>
      </c>
      <c r="N24" s="9"/>
    </row>
    <row r="25" spans="2:14" x14ac:dyDescent="0.35">
      <c r="B25" s="12"/>
      <c r="C25" s="82" t="s">
        <v>23</v>
      </c>
      <c r="D25" s="83"/>
      <c r="E25" s="83"/>
      <c r="F25" s="83"/>
      <c r="G25" s="83"/>
      <c r="H25" s="84"/>
      <c r="I25" s="17"/>
      <c r="J25" s="85"/>
      <c r="K25" s="85"/>
      <c r="L25" s="27"/>
      <c r="M25" s="27"/>
      <c r="N25" s="9"/>
    </row>
    <row r="26" spans="2:14" x14ac:dyDescent="0.35">
      <c r="B26" s="12"/>
      <c r="C26" s="82"/>
      <c r="D26" s="83"/>
      <c r="E26" s="83"/>
      <c r="F26" s="83"/>
      <c r="G26" s="83"/>
      <c r="H26" s="84"/>
      <c r="I26" s="17"/>
      <c r="J26" s="85"/>
      <c r="K26" s="85"/>
      <c r="L26" s="27"/>
      <c r="M26" s="27"/>
      <c r="N26" s="9"/>
    </row>
    <row r="27" spans="2:14" x14ac:dyDescent="0.35">
      <c r="B27" s="12"/>
      <c r="I27" s="17"/>
      <c r="J27" s="85"/>
      <c r="K27" s="85"/>
      <c r="L27" s="27"/>
      <c r="M27" s="27"/>
      <c r="N27" s="9"/>
    </row>
    <row r="28" spans="2:14" x14ac:dyDescent="0.35">
      <c r="B28" s="12"/>
      <c r="I28" s="17"/>
      <c r="J28" s="85"/>
      <c r="K28" s="85"/>
      <c r="L28" s="27"/>
      <c r="M28" s="27"/>
      <c r="N28" s="9"/>
    </row>
    <row r="29" spans="2:14" x14ac:dyDescent="0.35">
      <c r="B29" s="12"/>
      <c r="I29" s="17"/>
      <c r="J29" s="85"/>
      <c r="K29" s="85"/>
      <c r="L29" s="27"/>
      <c r="M29" s="27"/>
      <c r="N29" s="9"/>
    </row>
    <row r="30" spans="2:14" x14ac:dyDescent="0.35">
      <c r="B30" s="12"/>
      <c r="C30" s="79"/>
      <c r="D30" s="80"/>
      <c r="E30" s="80"/>
      <c r="F30" s="80"/>
      <c r="G30" s="80"/>
      <c r="H30" s="81"/>
      <c r="I30" s="17"/>
      <c r="J30" s="85"/>
      <c r="K30" s="85"/>
      <c r="L30" s="27"/>
      <c r="M30" s="27"/>
      <c r="N30" s="9"/>
    </row>
    <row r="31" spans="2:14" x14ac:dyDescent="0.35">
      <c r="B31" s="12"/>
      <c r="C31" s="79"/>
      <c r="D31" s="80"/>
      <c r="E31" s="80"/>
      <c r="F31" s="80"/>
      <c r="G31" s="80"/>
      <c r="H31" s="81"/>
      <c r="I31" s="17"/>
      <c r="J31" s="85"/>
      <c r="K31" s="85"/>
      <c r="L31" s="27"/>
      <c r="M31" s="27"/>
      <c r="N31" s="9"/>
    </row>
    <row r="32" spans="2:14" x14ac:dyDescent="0.35">
      <c r="B32" s="13"/>
      <c r="C32" s="92"/>
      <c r="D32" s="93"/>
      <c r="E32" s="93"/>
      <c r="F32" s="93"/>
      <c r="G32" s="93"/>
      <c r="H32" s="94"/>
      <c r="I32" s="18"/>
      <c r="J32" s="89"/>
      <c r="K32" s="89"/>
      <c r="L32" s="28"/>
      <c r="M32" s="28"/>
      <c r="N32" s="9"/>
    </row>
    <row r="33" spans="2:14" ht="17.25" customHeight="1" x14ac:dyDescent="0.35">
      <c r="I33" s="11" t="s">
        <v>2</v>
      </c>
      <c r="J33" s="105"/>
      <c r="K33" s="105"/>
      <c r="L33" s="29"/>
      <c r="N33" s="9"/>
    </row>
    <row r="35" spans="2:14" x14ac:dyDescent="0.35">
      <c r="B35" s="96" t="s">
        <v>27</v>
      </c>
      <c r="C35" s="97"/>
      <c r="D35" s="97"/>
      <c r="E35" s="97"/>
      <c r="F35" s="97"/>
      <c r="G35" s="97"/>
      <c r="H35" s="98"/>
      <c r="J35" s="106" t="s">
        <v>15</v>
      </c>
      <c r="K35" s="107"/>
      <c r="L35" s="108"/>
    </row>
    <row r="36" spans="2:14" x14ac:dyDescent="0.35">
      <c r="B36" s="99"/>
      <c r="C36" s="100"/>
      <c r="D36" s="100"/>
      <c r="E36" s="100"/>
      <c r="F36" s="100"/>
      <c r="G36" s="100"/>
      <c r="H36" s="101"/>
      <c r="J36" s="109"/>
      <c r="K36" s="110"/>
      <c r="L36" s="111"/>
    </row>
    <row r="37" spans="2:14" x14ac:dyDescent="0.35">
      <c r="B37" s="99"/>
      <c r="C37" s="100"/>
      <c r="D37" s="100"/>
      <c r="E37" s="100"/>
      <c r="F37" s="100"/>
      <c r="G37" s="100"/>
      <c r="H37" s="101"/>
      <c r="J37" s="109"/>
      <c r="K37" s="110"/>
      <c r="L37" s="111"/>
    </row>
    <row r="38" spans="2:14" x14ac:dyDescent="0.35">
      <c r="B38" s="99"/>
      <c r="C38" s="100"/>
      <c r="D38" s="100"/>
      <c r="E38" s="100"/>
      <c r="F38" s="100"/>
      <c r="G38" s="100"/>
      <c r="H38" s="101"/>
      <c r="J38" s="109"/>
      <c r="K38" s="110"/>
      <c r="L38" s="111"/>
    </row>
    <row r="39" spans="2:14" x14ac:dyDescent="0.35">
      <c r="B39" s="99"/>
      <c r="C39" s="100"/>
      <c r="D39" s="100"/>
      <c r="E39" s="100"/>
      <c r="F39" s="100"/>
      <c r="G39" s="100"/>
      <c r="H39" s="101"/>
      <c r="J39" s="109"/>
      <c r="K39" s="110"/>
      <c r="L39" s="111"/>
    </row>
    <row r="40" spans="2:14" x14ac:dyDescent="0.35">
      <c r="B40" s="102"/>
      <c r="C40" s="103"/>
      <c r="D40" s="103"/>
      <c r="E40" s="103"/>
      <c r="F40" s="103"/>
      <c r="G40" s="103"/>
      <c r="H40" s="104"/>
      <c r="J40" s="112"/>
      <c r="K40" s="113"/>
      <c r="L40" s="114"/>
    </row>
    <row r="41" spans="2:14" ht="14" thickBot="1" x14ac:dyDescent="0.4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20"/>
    </row>
    <row r="42" spans="2:14" ht="14" thickTop="1" x14ac:dyDescent="0.35">
      <c r="B42" s="95" t="s">
        <v>16</v>
      </c>
      <c r="C42" s="95"/>
      <c r="D42" s="95"/>
      <c r="E42" s="95"/>
      <c r="F42" s="95"/>
      <c r="G42" s="95"/>
      <c r="H42" s="95"/>
      <c r="I42" s="95"/>
      <c r="J42" s="95"/>
      <c r="K42" s="95"/>
      <c r="L42" s="95"/>
    </row>
    <row r="43" spans="2:14" x14ac:dyDescent="0.35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</row>
  </sheetData>
  <mergeCells count="52">
    <mergeCell ref="G2:L2"/>
    <mergeCell ref="B9:D9"/>
    <mergeCell ref="F9:H9"/>
    <mergeCell ref="J9:L9"/>
    <mergeCell ref="B10:D10"/>
    <mergeCell ref="F10:H10"/>
    <mergeCell ref="J10:L10"/>
    <mergeCell ref="B11:D11"/>
    <mergeCell ref="F11:H11"/>
    <mergeCell ref="J11:L11"/>
    <mergeCell ref="B12:D12"/>
    <mergeCell ref="F12:H12"/>
    <mergeCell ref="J12:L12"/>
    <mergeCell ref="B13:D13"/>
    <mergeCell ref="F13:H13"/>
    <mergeCell ref="J13:L13"/>
    <mergeCell ref="B14:D14"/>
    <mergeCell ref="F14:H14"/>
    <mergeCell ref="J14:L14"/>
    <mergeCell ref="C22:H22"/>
    <mergeCell ref="J22:K22"/>
    <mergeCell ref="C16:H16"/>
    <mergeCell ref="J16:K16"/>
    <mergeCell ref="C17:H17"/>
    <mergeCell ref="J17:K17"/>
    <mergeCell ref="C18:H18"/>
    <mergeCell ref="J18:K18"/>
    <mergeCell ref="C19:H19"/>
    <mergeCell ref="J19:K19"/>
    <mergeCell ref="C20:H21"/>
    <mergeCell ref="J20:K20"/>
    <mergeCell ref="J21:K21"/>
    <mergeCell ref="C23:H23"/>
    <mergeCell ref="J23:K23"/>
    <mergeCell ref="C24:H24"/>
    <mergeCell ref="J24:K24"/>
    <mergeCell ref="C25:H26"/>
    <mergeCell ref="J25:K25"/>
    <mergeCell ref="J26:K26"/>
    <mergeCell ref="B42:L43"/>
    <mergeCell ref="J27:K27"/>
    <mergeCell ref="J28:K28"/>
    <mergeCell ref="J29:K29"/>
    <mergeCell ref="C30:H30"/>
    <mergeCell ref="J30:K30"/>
    <mergeCell ref="C31:H31"/>
    <mergeCell ref="J31:K31"/>
    <mergeCell ref="C32:H32"/>
    <mergeCell ref="J32:K32"/>
    <mergeCell ref="J33:K33"/>
    <mergeCell ref="B35:H40"/>
    <mergeCell ref="J35:L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view="pageLayout" zoomScale="70" zoomScaleNormal="85" zoomScalePageLayoutView="70" workbookViewId="0">
      <selection activeCell="G4" sqref="G4:L4"/>
    </sheetView>
  </sheetViews>
  <sheetFormatPr defaultColWidth="8.8984375" defaultRowHeight="13.5" x14ac:dyDescent="0.35"/>
  <cols>
    <col min="1" max="1" width="7.8984375" style="1" bestFit="1" customWidth="1"/>
    <col min="2" max="2" width="7.3984375" style="1" bestFit="1" customWidth="1"/>
    <col min="3" max="3" width="11.8984375" style="1" customWidth="1"/>
    <col min="4" max="4" width="12.69921875" style="1" customWidth="1"/>
    <col min="5" max="5" width="6.69921875" style="1" customWidth="1"/>
    <col min="6" max="6" width="3.69921875" style="1" customWidth="1"/>
    <col min="7" max="7" width="9.09765625" style="1" customWidth="1"/>
    <col min="8" max="8" width="5" style="1" customWidth="1"/>
    <col min="9" max="9" width="8.09765625" style="33" customWidth="1"/>
    <col min="10" max="10" width="9.09765625" style="1" bestFit="1" customWidth="1"/>
    <col min="11" max="11" width="6.59765625" style="1" bestFit="1" customWidth="1"/>
    <col min="12" max="12" width="15.09765625" style="1" customWidth="1"/>
    <col min="13" max="16384" width="8.8984375" style="1"/>
  </cols>
  <sheetData>
    <row r="1" spans="1:12" ht="43.5" customHeight="1" x14ac:dyDescent="0.7">
      <c r="A1" s="136" t="s">
        <v>10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</row>
    <row r="2" spans="1:12" ht="18" customHeight="1" x14ac:dyDescent="0.35">
      <c r="B2" s="2"/>
      <c r="C2" s="2"/>
      <c r="D2" s="2"/>
      <c r="E2" s="2"/>
      <c r="F2" s="2"/>
      <c r="G2" s="2"/>
      <c r="H2" s="2"/>
      <c r="I2" s="31"/>
      <c r="J2" s="1" t="s">
        <v>7</v>
      </c>
      <c r="L2" s="45">
        <v>45497</v>
      </c>
    </row>
    <row r="3" spans="1:12" ht="24.75" customHeight="1" x14ac:dyDescent="0.35">
      <c r="B3" s="2"/>
      <c r="C3" s="2"/>
      <c r="D3" s="2"/>
      <c r="E3" s="2"/>
      <c r="F3" s="2"/>
      <c r="G3" s="2"/>
      <c r="H3" s="2"/>
      <c r="I3" s="31"/>
      <c r="J3" s="1" t="s">
        <v>8</v>
      </c>
      <c r="L3" s="46" t="s">
        <v>46</v>
      </c>
    </row>
    <row r="4" spans="1:12" ht="27.75" customHeight="1" x14ac:dyDescent="0.35">
      <c r="A4" s="44"/>
      <c r="D4" s="48"/>
      <c r="E4" s="2"/>
      <c r="F4" s="2"/>
      <c r="G4" s="137" t="s">
        <v>56</v>
      </c>
      <c r="H4" s="137"/>
      <c r="I4" s="137"/>
      <c r="J4" s="137"/>
      <c r="K4" s="137"/>
      <c r="L4" s="137"/>
    </row>
    <row r="5" spans="1:12" x14ac:dyDescent="0.35">
      <c r="D5" s="2"/>
      <c r="E5" s="2"/>
      <c r="F5" s="2"/>
      <c r="G5" s="132" t="s">
        <v>53</v>
      </c>
      <c r="H5" s="132"/>
      <c r="I5" s="132"/>
      <c r="J5" s="132"/>
      <c r="K5" s="132"/>
      <c r="L5" s="132"/>
    </row>
    <row r="6" spans="1:12" x14ac:dyDescent="0.35">
      <c r="D6" s="2"/>
      <c r="E6" s="4"/>
      <c r="F6" s="4"/>
      <c r="G6" s="132" t="s">
        <v>33</v>
      </c>
      <c r="H6" s="132"/>
      <c r="I6" s="132"/>
      <c r="J6" s="132"/>
      <c r="K6" s="132"/>
      <c r="L6" s="132"/>
    </row>
    <row r="7" spans="1:12" x14ac:dyDescent="0.35">
      <c r="D7" s="2"/>
      <c r="E7" s="4"/>
      <c r="F7" s="4"/>
      <c r="G7" s="132" t="s">
        <v>34</v>
      </c>
      <c r="H7" s="132"/>
      <c r="I7" s="132"/>
      <c r="J7" s="132"/>
      <c r="K7" s="132"/>
      <c r="L7" s="132"/>
    </row>
    <row r="8" spans="1:12" x14ac:dyDescent="0.35">
      <c r="D8" s="2"/>
      <c r="E8" s="6"/>
      <c r="F8" s="6"/>
      <c r="G8" s="132" t="s">
        <v>35</v>
      </c>
      <c r="H8" s="132"/>
      <c r="I8" s="132"/>
      <c r="J8" s="132"/>
      <c r="K8" s="132"/>
      <c r="L8" s="132"/>
    </row>
    <row r="9" spans="1:12" x14ac:dyDescent="0.35">
      <c r="D9" s="2"/>
      <c r="E9" s="6"/>
      <c r="F9" s="6"/>
      <c r="G9" s="132" t="s">
        <v>45</v>
      </c>
      <c r="H9" s="132"/>
      <c r="I9" s="132"/>
      <c r="J9" s="132"/>
      <c r="K9" s="132"/>
      <c r="L9" s="132"/>
    </row>
    <row r="10" spans="1:12" ht="15" customHeight="1" x14ac:dyDescent="0.35">
      <c r="D10" s="2"/>
      <c r="E10" s="4"/>
      <c r="F10" s="4"/>
      <c r="G10" s="132" t="s">
        <v>36</v>
      </c>
      <c r="H10" s="132"/>
      <c r="I10" s="132"/>
      <c r="J10" s="132"/>
      <c r="K10" s="132"/>
      <c r="L10" s="132"/>
    </row>
    <row r="11" spans="1:12" x14ac:dyDescent="0.35">
      <c r="D11" s="2"/>
      <c r="E11" s="6"/>
      <c r="F11" s="6"/>
      <c r="G11" s="132" t="s">
        <v>37</v>
      </c>
      <c r="H11" s="132"/>
      <c r="I11" s="132"/>
      <c r="J11" s="132"/>
      <c r="K11" s="132"/>
      <c r="L11" s="132"/>
    </row>
    <row r="12" spans="1:12" x14ac:dyDescent="0.35">
      <c r="B12" s="4"/>
      <c r="C12" s="4"/>
      <c r="D12" s="4"/>
      <c r="E12" s="6"/>
      <c r="F12" s="6"/>
      <c r="H12" s="4"/>
      <c r="I12" s="4"/>
      <c r="J12" s="4"/>
      <c r="K12" s="4"/>
      <c r="L12" s="4"/>
    </row>
    <row r="13" spans="1:12" ht="15.5" x14ac:dyDescent="0.35">
      <c r="B13" s="44" t="s">
        <v>55</v>
      </c>
      <c r="C13" s="137" t="s">
        <v>47</v>
      </c>
      <c r="D13" s="137"/>
      <c r="E13" s="137"/>
      <c r="F13" s="137"/>
      <c r="G13" s="137"/>
      <c r="H13" s="4"/>
      <c r="I13" s="4"/>
      <c r="J13" s="4"/>
      <c r="K13" s="4"/>
      <c r="L13" s="4"/>
    </row>
    <row r="14" spans="1:12" x14ac:dyDescent="0.35">
      <c r="C14" s="132" t="s">
        <v>48</v>
      </c>
      <c r="D14" s="132"/>
      <c r="E14" s="132"/>
      <c r="F14" s="132"/>
      <c r="G14" s="132"/>
      <c r="H14" s="4"/>
      <c r="I14" s="4"/>
      <c r="J14" s="4"/>
      <c r="K14" s="4"/>
      <c r="L14" s="4"/>
    </row>
    <row r="15" spans="1:12" x14ac:dyDescent="0.35">
      <c r="C15" s="132" t="s">
        <v>49</v>
      </c>
      <c r="D15" s="132"/>
      <c r="E15" s="132"/>
      <c r="F15" s="132"/>
      <c r="G15" s="132"/>
      <c r="H15" s="4"/>
      <c r="I15" s="4"/>
      <c r="J15" s="4"/>
      <c r="K15" s="4"/>
      <c r="L15" s="4"/>
    </row>
    <row r="16" spans="1:12" x14ac:dyDescent="0.35">
      <c r="C16" s="132" t="s">
        <v>50</v>
      </c>
      <c r="D16" s="132"/>
      <c r="E16" s="132"/>
      <c r="F16" s="132"/>
      <c r="G16" s="132"/>
      <c r="H16" s="4"/>
      <c r="I16" s="4"/>
      <c r="J16" s="4"/>
      <c r="K16" s="4"/>
      <c r="L16" s="4"/>
    </row>
    <row r="17" spans="1:12" x14ac:dyDescent="0.35">
      <c r="C17" s="132" t="s">
        <v>51</v>
      </c>
      <c r="D17" s="132"/>
      <c r="E17" s="132"/>
      <c r="F17" s="132"/>
      <c r="G17" s="132"/>
      <c r="H17" s="4"/>
      <c r="I17" s="4"/>
      <c r="J17" s="4"/>
      <c r="K17" s="4"/>
      <c r="L17" s="4"/>
    </row>
    <row r="18" spans="1:12" x14ac:dyDescent="0.35">
      <c r="C18" s="132" t="s">
        <v>52</v>
      </c>
      <c r="D18" s="132"/>
      <c r="E18" s="132"/>
      <c r="F18" s="132"/>
      <c r="G18" s="132"/>
      <c r="H18" s="4"/>
      <c r="I18" s="4"/>
      <c r="J18" s="4"/>
      <c r="K18" s="4"/>
      <c r="L18" s="4"/>
    </row>
    <row r="19" spans="1:12" x14ac:dyDescent="0.35">
      <c r="B19" s="4"/>
      <c r="C19" s="4"/>
      <c r="D19" s="4"/>
      <c r="E19" s="6"/>
      <c r="F19" s="6"/>
      <c r="H19" s="4"/>
      <c r="I19" s="4"/>
      <c r="J19" s="4"/>
      <c r="K19" s="4"/>
      <c r="L19" s="4"/>
    </row>
    <row r="20" spans="1:12" ht="14" thickBot="1" x14ac:dyDescent="0.4"/>
    <row r="21" spans="1:12" ht="32.25" customHeight="1" thickBot="1" x14ac:dyDescent="0.4">
      <c r="A21" s="23" t="s">
        <v>14</v>
      </c>
      <c r="B21" s="133" t="s">
        <v>1</v>
      </c>
      <c r="C21" s="134"/>
      <c r="D21" s="134"/>
      <c r="E21" s="134"/>
      <c r="F21" s="134"/>
      <c r="G21" s="134"/>
      <c r="H21" s="135"/>
      <c r="I21" s="34" t="s">
        <v>28</v>
      </c>
      <c r="J21" s="116" t="s">
        <v>29</v>
      </c>
      <c r="K21" s="118"/>
      <c r="L21" s="23" t="s">
        <v>44</v>
      </c>
    </row>
    <row r="22" spans="1:12" x14ac:dyDescent="0.35">
      <c r="A22" s="26"/>
      <c r="B22" s="129"/>
      <c r="C22" s="130"/>
      <c r="D22" s="130"/>
      <c r="E22" s="130"/>
      <c r="F22" s="130"/>
      <c r="G22" s="130"/>
      <c r="H22" s="131"/>
      <c r="I22" s="35"/>
      <c r="J22" s="125"/>
      <c r="K22" s="125"/>
      <c r="L22" s="43"/>
    </row>
    <row r="23" spans="1:12" x14ac:dyDescent="0.35">
      <c r="A23" s="26">
        <v>1</v>
      </c>
      <c r="B23" s="86" t="s">
        <v>38</v>
      </c>
      <c r="C23" s="87"/>
      <c r="D23" s="87"/>
      <c r="E23" s="87"/>
      <c r="F23" s="87"/>
      <c r="G23" s="87"/>
      <c r="H23" s="88"/>
      <c r="I23" s="47">
        <v>1</v>
      </c>
      <c r="J23" s="125"/>
      <c r="K23" s="125"/>
      <c r="L23" s="43">
        <f>I23*J23</f>
        <v>0</v>
      </c>
    </row>
    <row r="24" spans="1:12" ht="13.5" customHeight="1" x14ac:dyDescent="0.35">
      <c r="A24" s="26">
        <v>2</v>
      </c>
      <c r="B24" s="86" t="s">
        <v>39</v>
      </c>
      <c r="C24" s="87"/>
      <c r="D24" s="87"/>
      <c r="E24" s="87"/>
      <c r="F24" s="87"/>
      <c r="G24" s="87"/>
      <c r="H24" s="88"/>
      <c r="I24" s="47">
        <v>1</v>
      </c>
      <c r="J24" s="125"/>
      <c r="K24" s="125"/>
      <c r="L24" s="43">
        <f t="shared" ref="L24:L29" si="0">I24*J24</f>
        <v>0</v>
      </c>
    </row>
    <row r="25" spans="1:12" x14ac:dyDescent="0.35">
      <c r="A25" s="26">
        <v>3</v>
      </c>
      <c r="B25" s="86" t="s">
        <v>40</v>
      </c>
      <c r="C25" s="87"/>
      <c r="D25" s="87"/>
      <c r="E25" s="87"/>
      <c r="F25" s="87"/>
      <c r="G25" s="87"/>
      <c r="H25" s="88"/>
      <c r="I25" s="47">
        <v>1</v>
      </c>
      <c r="J25" s="125"/>
      <c r="K25" s="125"/>
      <c r="L25" s="43">
        <f t="shared" si="0"/>
        <v>0</v>
      </c>
    </row>
    <row r="26" spans="1:12" x14ac:dyDescent="0.35">
      <c r="A26" s="26">
        <v>4</v>
      </c>
      <c r="B26" s="86" t="s">
        <v>41</v>
      </c>
      <c r="C26" s="87"/>
      <c r="D26" s="87"/>
      <c r="E26" s="87"/>
      <c r="F26" s="87"/>
      <c r="G26" s="87"/>
      <c r="H26" s="88"/>
      <c r="I26" s="47">
        <v>1</v>
      </c>
      <c r="J26" s="125"/>
      <c r="K26" s="125"/>
      <c r="L26" s="43">
        <f t="shared" si="0"/>
        <v>0</v>
      </c>
    </row>
    <row r="27" spans="1:12" x14ac:dyDescent="0.35">
      <c r="A27" s="26">
        <v>5</v>
      </c>
      <c r="B27" s="86" t="s">
        <v>42</v>
      </c>
      <c r="C27" s="87"/>
      <c r="D27" s="87"/>
      <c r="E27" s="87"/>
      <c r="F27" s="87"/>
      <c r="G27" s="87"/>
      <c r="H27" s="88"/>
      <c r="I27" s="47">
        <v>1</v>
      </c>
      <c r="J27" s="125"/>
      <c r="K27" s="125"/>
      <c r="L27" s="43">
        <f t="shared" si="0"/>
        <v>0</v>
      </c>
    </row>
    <row r="28" spans="1:12" x14ac:dyDescent="0.35">
      <c r="A28" s="26">
        <v>6</v>
      </c>
      <c r="B28" s="86" t="s">
        <v>43</v>
      </c>
      <c r="C28" s="87"/>
      <c r="D28" s="87"/>
      <c r="E28" s="87"/>
      <c r="F28" s="87"/>
      <c r="G28" s="87"/>
      <c r="H28" s="88"/>
      <c r="I28" s="47">
        <v>1</v>
      </c>
      <c r="J28" s="125"/>
      <c r="K28" s="125"/>
      <c r="L28" s="43">
        <f t="shared" si="0"/>
        <v>0</v>
      </c>
    </row>
    <row r="29" spans="1:12" x14ac:dyDescent="0.35">
      <c r="A29" s="26">
        <v>7</v>
      </c>
      <c r="B29" s="86" t="s">
        <v>57</v>
      </c>
      <c r="C29" s="87"/>
      <c r="D29" s="87"/>
      <c r="E29" s="87"/>
      <c r="F29" s="87"/>
      <c r="G29" s="87"/>
      <c r="H29" s="88"/>
      <c r="I29" s="47">
        <v>1</v>
      </c>
      <c r="J29" s="125"/>
      <c r="K29" s="125"/>
      <c r="L29" s="43">
        <f t="shared" si="0"/>
        <v>0</v>
      </c>
    </row>
    <row r="30" spans="1:12" x14ac:dyDescent="0.35">
      <c r="A30" s="12"/>
      <c r="B30" s="86"/>
      <c r="C30" s="87"/>
      <c r="D30" s="87"/>
      <c r="E30" s="87"/>
      <c r="F30" s="87"/>
      <c r="G30" s="87"/>
      <c r="H30" s="88"/>
      <c r="I30" s="35"/>
      <c r="J30" s="125"/>
      <c r="K30" s="125"/>
      <c r="L30" s="43"/>
    </row>
    <row r="31" spans="1:12" x14ac:dyDescent="0.35">
      <c r="A31" s="12"/>
      <c r="B31" s="86"/>
      <c r="C31" s="87"/>
      <c r="D31" s="87"/>
      <c r="E31" s="87"/>
      <c r="F31" s="87"/>
      <c r="G31" s="87"/>
      <c r="H31" s="88"/>
      <c r="I31" s="35"/>
      <c r="J31" s="125"/>
      <c r="K31" s="125"/>
      <c r="L31" s="43"/>
    </row>
    <row r="32" spans="1:12" x14ac:dyDescent="0.35">
      <c r="A32" s="12"/>
      <c r="B32" s="126" t="s">
        <v>31</v>
      </c>
      <c r="C32" s="127"/>
      <c r="D32" s="127"/>
      <c r="E32" s="127"/>
      <c r="F32" s="127"/>
      <c r="G32" s="127"/>
      <c r="H32" s="128"/>
      <c r="I32" s="35">
        <f>SUM(I23:I29)</f>
        <v>7</v>
      </c>
      <c r="J32" s="125"/>
      <c r="K32" s="125"/>
      <c r="L32" s="43">
        <f>SUM(L23:L29)</f>
        <v>0</v>
      </c>
    </row>
    <row r="33" spans="1:12" x14ac:dyDescent="0.35">
      <c r="A33" s="12"/>
      <c r="B33" s="79"/>
      <c r="C33" s="80"/>
      <c r="D33" s="80"/>
      <c r="E33" s="80"/>
      <c r="F33" s="80"/>
      <c r="G33" s="80"/>
      <c r="H33" s="81"/>
      <c r="I33" s="35"/>
      <c r="J33" s="85"/>
      <c r="K33" s="85"/>
      <c r="L33" s="42"/>
    </row>
    <row r="34" spans="1:12" x14ac:dyDescent="0.35">
      <c r="A34" s="13"/>
      <c r="B34" s="92"/>
      <c r="C34" s="93"/>
      <c r="D34" s="93"/>
      <c r="E34" s="93"/>
      <c r="F34" s="93"/>
      <c r="G34" s="93"/>
      <c r="H34" s="94"/>
      <c r="I34" s="36"/>
      <c r="J34" s="89"/>
      <c r="K34" s="89"/>
      <c r="L34" s="28"/>
    </row>
    <row r="35" spans="1:12" ht="17.25" customHeight="1" x14ac:dyDescent="0.35">
      <c r="I35" s="37" t="s">
        <v>2</v>
      </c>
      <c r="J35" s="105"/>
      <c r="K35" s="105"/>
      <c r="L35" s="29"/>
    </row>
    <row r="37" spans="1:12" x14ac:dyDescent="0.35">
      <c r="A37" s="49"/>
      <c r="B37" s="58"/>
      <c r="C37" s="50"/>
      <c r="D37" s="50"/>
      <c r="E37" s="50"/>
      <c r="F37" s="50"/>
      <c r="G37" s="50"/>
      <c r="H37" s="51"/>
      <c r="J37" s="121"/>
      <c r="K37" s="110"/>
      <c r="L37" s="110"/>
    </row>
    <row r="38" spans="1:12" x14ac:dyDescent="0.35">
      <c r="A38" s="52"/>
      <c r="B38" s="53"/>
      <c r="C38" s="53"/>
      <c r="D38" s="53"/>
      <c r="E38" s="53"/>
      <c r="F38" s="53"/>
      <c r="G38" s="53"/>
      <c r="H38" s="54"/>
      <c r="J38" s="110"/>
      <c r="K38" s="110"/>
      <c r="L38" s="110"/>
    </row>
    <row r="39" spans="1:12" x14ac:dyDescent="0.35">
      <c r="A39" s="52"/>
      <c r="B39" s="53"/>
      <c r="C39" s="53"/>
      <c r="D39" s="53"/>
      <c r="E39" s="53"/>
      <c r="F39" s="53"/>
      <c r="G39" s="53"/>
      <c r="H39" s="54"/>
      <c r="J39" s="110"/>
      <c r="K39" s="110"/>
      <c r="L39" s="110"/>
    </row>
    <row r="40" spans="1:12" x14ac:dyDescent="0.35">
      <c r="A40" s="52"/>
      <c r="B40" s="53"/>
      <c r="C40" s="53"/>
      <c r="D40" s="53"/>
      <c r="E40" s="53"/>
      <c r="F40" s="53"/>
      <c r="G40" s="53"/>
      <c r="H40" s="54"/>
      <c r="J40" s="110"/>
      <c r="K40" s="110"/>
      <c r="L40" s="110"/>
    </row>
    <row r="41" spans="1:12" x14ac:dyDescent="0.35">
      <c r="A41" s="52"/>
      <c r="B41" s="53"/>
      <c r="C41" s="53"/>
      <c r="D41" s="53"/>
      <c r="E41" s="53"/>
      <c r="F41" s="53"/>
      <c r="G41" s="53"/>
      <c r="H41" s="54"/>
      <c r="J41" s="110"/>
      <c r="K41" s="110"/>
      <c r="L41" s="110"/>
    </row>
    <row r="42" spans="1:12" x14ac:dyDescent="0.35">
      <c r="A42" s="55"/>
      <c r="B42" s="56"/>
      <c r="C42" s="56"/>
      <c r="D42" s="56"/>
      <c r="E42" s="56"/>
      <c r="F42" s="56"/>
      <c r="G42" s="56"/>
      <c r="H42" s="57"/>
      <c r="J42" s="110"/>
      <c r="K42" s="110"/>
      <c r="L42" s="110"/>
    </row>
    <row r="43" spans="1:12" ht="14" thickBot="1" x14ac:dyDescent="0.4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</row>
    <row r="44" spans="1:12" ht="14" thickTop="1" x14ac:dyDescent="0.35">
      <c r="B44" s="95" t="s">
        <v>54</v>
      </c>
      <c r="C44" s="95"/>
      <c r="D44" s="95"/>
      <c r="E44" s="95"/>
      <c r="F44" s="95"/>
      <c r="G44" s="95"/>
      <c r="H44" s="95"/>
      <c r="I44" s="95"/>
      <c r="J44" s="95"/>
      <c r="K44" s="95"/>
      <c r="L44" s="95"/>
    </row>
    <row r="45" spans="1:12" x14ac:dyDescent="0.35"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</row>
  </sheetData>
  <mergeCells count="46">
    <mergeCell ref="C17:G17"/>
    <mergeCell ref="C18:G18"/>
    <mergeCell ref="B21:H21"/>
    <mergeCell ref="A1:L1"/>
    <mergeCell ref="C13:G13"/>
    <mergeCell ref="C14:G14"/>
    <mergeCell ref="C15:G15"/>
    <mergeCell ref="C16:G16"/>
    <mergeCell ref="G9:L9"/>
    <mergeCell ref="G10:L10"/>
    <mergeCell ref="G11:L11"/>
    <mergeCell ref="G4:L4"/>
    <mergeCell ref="G5:L5"/>
    <mergeCell ref="G6:L6"/>
    <mergeCell ref="G7:L7"/>
    <mergeCell ref="G8:L8"/>
    <mergeCell ref="B22:H22"/>
    <mergeCell ref="B23:H23"/>
    <mergeCell ref="B24:H24"/>
    <mergeCell ref="J21:K21"/>
    <mergeCell ref="J22:K22"/>
    <mergeCell ref="J23:K23"/>
    <mergeCell ref="J24:K24"/>
    <mergeCell ref="J25:K25"/>
    <mergeCell ref="J26:K26"/>
    <mergeCell ref="B25:H25"/>
    <mergeCell ref="B26:H26"/>
    <mergeCell ref="J27:K27"/>
    <mergeCell ref="J28:K28"/>
    <mergeCell ref="J29:K29"/>
    <mergeCell ref="B27:H27"/>
    <mergeCell ref="B28:H28"/>
    <mergeCell ref="B29:H29"/>
    <mergeCell ref="J30:K30"/>
    <mergeCell ref="J31:K31"/>
    <mergeCell ref="J32:K32"/>
    <mergeCell ref="J33:K33"/>
    <mergeCell ref="B30:H30"/>
    <mergeCell ref="B31:H31"/>
    <mergeCell ref="B32:H32"/>
    <mergeCell ref="B33:H33"/>
    <mergeCell ref="B44:L45"/>
    <mergeCell ref="J34:K34"/>
    <mergeCell ref="J35:K35"/>
    <mergeCell ref="J37:L42"/>
    <mergeCell ref="B34:H34"/>
  </mergeCells>
  <pageMargins left="0.20833333333333334" right="8.3333333333333329E-2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7"/>
  <sheetViews>
    <sheetView view="pageLayout" workbookViewId="0">
      <selection activeCell="D76" sqref="D76"/>
    </sheetView>
  </sheetViews>
  <sheetFormatPr defaultRowHeight="22" customHeight="1" x14ac:dyDescent="0.35"/>
  <cols>
    <col min="2" max="2" width="38.09765625" customWidth="1"/>
    <col min="3" max="3" width="9" customWidth="1"/>
    <col min="4" max="4" width="16.296875" customWidth="1"/>
    <col min="5" max="5" width="18.09765625" customWidth="1"/>
  </cols>
  <sheetData>
    <row r="2" spans="1:11" ht="28" x14ac:dyDescent="0.6">
      <c r="A2" s="142" t="s">
        <v>56</v>
      </c>
      <c r="B2" s="142"/>
      <c r="C2" s="142"/>
      <c r="D2" s="142"/>
      <c r="E2" s="142"/>
      <c r="F2" s="64"/>
      <c r="G2" s="64"/>
      <c r="H2" s="64"/>
      <c r="I2" s="64"/>
      <c r="J2" s="64"/>
      <c r="K2" s="64"/>
    </row>
    <row r="4" spans="1:11" ht="28" x14ac:dyDescent="0.6">
      <c r="A4" s="142" t="s">
        <v>58</v>
      </c>
      <c r="B4" s="142"/>
      <c r="C4" s="142"/>
      <c r="D4" s="142"/>
      <c r="E4" s="142"/>
      <c r="F4" s="64"/>
      <c r="G4" s="64"/>
      <c r="H4" s="64"/>
      <c r="I4" s="64"/>
      <c r="J4" s="64"/>
      <c r="K4" s="64"/>
    </row>
    <row r="6" spans="1:11" ht="22" customHeight="1" x14ac:dyDescent="0.35">
      <c r="E6" s="66" t="s">
        <v>59</v>
      </c>
    </row>
    <row r="7" spans="1:11" ht="22" customHeight="1" x14ac:dyDescent="0.35">
      <c r="E7" s="66" t="s">
        <v>60</v>
      </c>
    </row>
    <row r="9" spans="1:11" ht="22" customHeight="1" x14ac:dyDescent="0.35">
      <c r="A9" s="59" t="s">
        <v>61</v>
      </c>
      <c r="B9" s="60" t="s">
        <v>62</v>
      </c>
      <c r="C9" s="60" t="s">
        <v>63</v>
      </c>
      <c r="D9" s="60" t="s">
        <v>28</v>
      </c>
      <c r="E9" s="60" t="s">
        <v>65</v>
      </c>
    </row>
    <row r="10" spans="1:11" ht="22" customHeight="1" x14ac:dyDescent="0.35">
      <c r="A10" s="65">
        <v>1</v>
      </c>
      <c r="B10" s="61" t="s">
        <v>67</v>
      </c>
      <c r="C10" s="68" t="s">
        <v>64</v>
      </c>
      <c r="D10" s="62">
        <v>300</v>
      </c>
      <c r="E10" s="68" t="s">
        <v>66</v>
      </c>
    </row>
    <row r="11" spans="1:11" ht="22" customHeight="1" x14ac:dyDescent="0.35">
      <c r="A11" s="65">
        <v>2</v>
      </c>
      <c r="B11" s="61" t="s">
        <v>68</v>
      </c>
      <c r="C11" s="68" t="s">
        <v>64</v>
      </c>
      <c r="D11" s="62">
        <v>1</v>
      </c>
      <c r="E11" s="68" t="s">
        <v>70</v>
      </c>
    </row>
    <row r="12" spans="1:11" ht="22" customHeight="1" x14ac:dyDescent="0.35">
      <c r="A12" s="65">
        <v>3</v>
      </c>
      <c r="B12" s="61" t="s">
        <v>69</v>
      </c>
      <c r="C12" s="68" t="s">
        <v>64</v>
      </c>
      <c r="D12" s="62">
        <v>1</v>
      </c>
      <c r="E12" s="68" t="s">
        <v>70</v>
      </c>
    </row>
    <row r="13" spans="1:11" ht="22" customHeight="1" x14ac:dyDescent="0.35">
      <c r="A13" s="65">
        <v>4</v>
      </c>
      <c r="B13" s="61" t="s">
        <v>76</v>
      </c>
      <c r="C13" s="68" t="s">
        <v>64</v>
      </c>
      <c r="D13" s="62">
        <v>1</v>
      </c>
      <c r="E13" s="68" t="s">
        <v>70</v>
      </c>
    </row>
    <row r="14" spans="1:11" ht="22" customHeight="1" x14ac:dyDescent="0.35">
      <c r="A14" s="63"/>
      <c r="B14" s="61"/>
      <c r="C14" s="61"/>
      <c r="D14" s="61"/>
      <c r="E14" s="61"/>
    </row>
    <row r="15" spans="1:11" ht="22" customHeight="1" x14ac:dyDescent="0.35">
      <c r="A15" s="63"/>
      <c r="B15" s="61"/>
      <c r="C15" s="61"/>
      <c r="D15" s="61"/>
      <c r="E15" s="61"/>
    </row>
    <row r="16" spans="1:11" ht="22" customHeight="1" x14ac:dyDescent="0.35">
      <c r="A16" s="63"/>
      <c r="B16" s="61"/>
      <c r="C16" s="61"/>
      <c r="D16" s="61"/>
      <c r="E16" s="61"/>
    </row>
    <row r="18" spans="1:5" ht="22" customHeight="1" x14ac:dyDescent="0.35">
      <c r="A18" s="141" t="s">
        <v>71</v>
      </c>
      <c r="B18" s="141"/>
      <c r="C18" s="141" t="s">
        <v>72</v>
      </c>
      <c r="D18" s="139"/>
      <c r="E18" s="140"/>
    </row>
    <row r="19" spans="1:5" ht="22" customHeight="1" x14ac:dyDescent="0.35">
      <c r="A19" s="67" t="s">
        <v>73</v>
      </c>
      <c r="B19" s="67"/>
      <c r="C19" s="138" t="s">
        <v>73</v>
      </c>
      <c r="D19" s="139"/>
      <c r="E19" s="140"/>
    </row>
    <row r="20" spans="1:5" ht="22" customHeight="1" x14ac:dyDescent="0.35">
      <c r="A20" s="67" t="s">
        <v>74</v>
      </c>
      <c r="B20" s="67"/>
      <c r="C20" s="138" t="s">
        <v>74</v>
      </c>
      <c r="D20" s="139"/>
      <c r="E20" s="140"/>
    </row>
    <row r="21" spans="1:5" ht="22" customHeight="1" x14ac:dyDescent="0.35">
      <c r="A21" s="67" t="s">
        <v>75</v>
      </c>
      <c r="B21" s="67"/>
      <c r="C21" s="138" t="s">
        <v>75</v>
      </c>
      <c r="D21" s="139"/>
      <c r="E21" s="140"/>
    </row>
    <row r="35" spans="1:11" ht="28" x14ac:dyDescent="0.6">
      <c r="A35" s="142" t="s">
        <v>56</v>
      </c>
      <c r="B35" s="142"/>
      <c r="C35" s="142"/>
      <c r="D35" s="142"/>
      <c r="E35" s="142"/>
      <c r="F35" s="64"/>
      <c r="G35" s="64"/>
      <c r="H35" s="64"/>
      <c r="I35" s="64"/>
      <c r="J35" s="64"/>
      <c r="K35" s="64"/>
    </row>
    <row r="37" spans="1:11" ht="28" x14ac:dyDescent="0.6">
      <c r="A37" s="142" t="s">
        <v>58</v>
      </c>
      <c r="B37" s="142"/>
      <c r="C37" s="142"/>
      <c r="D37" s="142"/>
      <c r="E37" s="142"/>
      <c r="F37" s="64"/>
      <c r="G37" s="64"/>
      <c r="H37" s="64"/>
      <c r="I37" s="64"/>
      <c r="J37" s="64"/>
      <c r="K37" s="64"/>
    </row>
    <row r="39" spans="1:11" ht="22" customHeight="1" x14ac:dyDescent="0.35">
      <c r="E39" s="66" t="s">
        <v>81</v>
      </c>
    </row>
    <row r="40" spans="1:11" ht="22" customHeight="1" x14ac:dyDescent="0.35">
      <c r="A40" t="s">
        <v>77</v>
      </c>
      <c r="B40" s="69" t="s">
        <v>78</v>
      </c>
      <c r="E40" s="66" t="s">
        <v>82</v>
      </c>
    </row>
    <row r="42" spans="1:11" ht="22" customHeight="1" x14ac:dyDescent="0.35">
      <c r="A42" s="59" t="s">
        <v>61</v>
      </c>
      <c r="B42" s="60" t="s">
        <v>62</v>
      </c>
      <c r="C42" s="60" t="s">
        <v>63</v>
      </c>
      <c r="D42" s="60" t="s">
        <v>28</v>
      </c>
      <c r="E42" s="60" t="s">
        <v>65</v>
      </c>
    </row>
    <row r="43" spans="1:11" ht="22" customHeight="1" x14ac:dyDescent="0.35">
      <c r="A43" s="65">
        <v>1</v>
      </c>
      <c r="B43" s="61" t="s">
        <v>79</v>
      </c>
      <c r="C43" s="68" t="s">
        <v>64</v>
      </c>
      <c r="D43" s="62">
        <v>1200</v>
      </c>
      <c r="E43" s="68" t="s">
        <v>80</v>
      </c>
    </row>
    <row r="44" spans="1:11" ht="22" customHeight="1" x14ac:dyDescent="0.35">
      <c r="A44" s="65"/>
      <c r="B44" s="61"/>
      <c r="C44" s="68"/>
      <c r="D44" s="62"/>
      <c r="E44" s="68"/>
    </row>
    <row r="45" spans="1:11" ht="22" customHeight="1" x14ac:dyDescent="0.35">
      <c r="A45" s="65"/>
      <c r="B45" s="61"/>
      <c r="C45" s="68"/>
      <c r="D45" s="62"/>
      <c r="E45" s="68"/>
    </row>
    <row r="46" spans="1:11" ht="22" customHeight="1" x14ac:dyDescent="0.35">
      <c r="A46" s="65"/>
      <c r="B46" s="61"/>
      <c r="C46" s="68"/>
      <c r="D46" s="62"/>
      <c r="E46" s="68"/>
    </row>
    <row r="47" spans="1:11" ht="22" customHeight="1" x14ac:dyDescent="0.35">
      <c r="A47" s="63"/>
      <c r="B47" s="61"/>
      <c r="C47" s="61"/>
      <c r="D47" s="61"/>
      <c r="E47" s="61"/>
    </row>
    <row r="48" spans="1:11" ht="22" customHeight="1" x14ac:dyDescent="0.35">
      <c r="A48" s="63"/>
      <c r="B48" s="61"/>
      <c r="C48" s="61"/>
      <c r="D48" s="61"/>
      <c r="E48" s="61"/>
    </row>
    <row r="49" spans="1:5" ht="22" customHeight="1" x14ac:dyDescent="0.35">
      <c r="A49" s="63"/>
      <c r="B49" s="61"/>
      <c r="C49" s="61"/>
      <c r="D49" s="61"/>
      <c r="E49" s="61"/>
    </row>
    <row r="51" spans="1:5" ht="22" customHeight="1" x14ac:dyDescent="0.35">
      <c r="A51" s="141" t="s">
        <v>71</v>
      </c>
      <c r="B51" s="141"/>
      <c r="C51" s="141" t="s">
        <v>72</v>
      </c>
      <c r="D51" s="139"/>
      <c r="E51" s="140"/>
    </row>
    <row r="52" spans="1:5" ht="22" customHeight="1" x14ac:dyDescent="0.35">
      <c r="A52" s="67" t="s">
        <v>73</v>
      </c>
      <c r="B52" s="67"/>
      <c r="C52" s="138" t="s">
        <v>73</v>
      </c>
      <c r="D52" s="139"/>
      <c r="E52" s="140"/>
    </row>
    <row r="53" spans="1:5" ht="22" customHeight="1" x14ac:dyDescent="0.35">
      <c r="A53" s="67" t="s">
        <v>74</v>
      </c>
      <c r="B53" s="67"/>
      <c r="C53" s="138" t="s">
        <v>74</v>
      </c>
      <c r="D53" s="139"/>
      <c r="E53" s="140"/>
    </row>
    <row r="54" spans="1:5" ht="22" customHeight="1" x14ac:dyDescent="0.35">
      <c r="A54" s="67" t="s">
        <v>75</v>
      </c>
      <c r="B54" s="67"/>
      <c r="C54" s="138" t="s">
        <v>75</v>
      </c>
      <c r="D54" s="139"/>
      <c r="E54" s="140"/>
    </row>
    <row r="68" spans="1:11" ht="28" x14ac:dyDescent="0.6">
      <c r="A68" s="142" t="s">
        <v>56</v>
      </c>
      <c r="B68" s="142"/>
      <c r="C68" s="142"/>
      <c r="D68" s="142"/>
      <c r="E68" s="142"/>
      <c r="F68" s="64"/>
      <c r="G68" s="64"/>
      <c r="H68" s="64"/>
      <c r="I68" s="64"/>
      <c r="J68" s="64"/>
      <c r="K68" s="64"/>
    </row>
    <row r="70" spans="1:11" ht="28" x14ac:dyDescent="0.6">
      <c r="A70" s="142" t="s">
        <v>58</v>
      </c>
      <c r="B70" s="142"/>
      <c r="C70" s="142"/>
      <c r="D70" s="142"/>
      <c r="E70" s="142"/>
      <c r="F70" s="64"/>
      <c r="G70" s="64"/>
      <c r="H70" s="64"/>
      <c r="I70" s="64"/>
      <c r="J70" s="64"/>
      <c r="K70" s="64"/>
    </row>
    <row r="72" spans="1:11" ht="22" customHeight="1" x14ac:dyDescent="0.35">
      <c r="E72" s="66" t="s">
        <v>87</v>
      </c>
    </row>
    <row r="73" spans="1:11" ht="22" customHeight="1" x14ac:dyDescent="0.35">
      <c r="A73" t="s">
        <v>83</v>
      </c>
      <c r="B73" s="69" t="s">
        <v>84</v>
      </c>
      <c r="E73" s="66" t="s">
        <v>82</v>
      </c>
    </row>
    <row r="75" spans="1:11" ht="22" customHeight="1" x14ac:dyDescent="0.35">
      <c r="A75" s="59" t="s">
        <v>61</v>
      </c>
      <c r="B75" s="60" t="s">
        <v>62</v>
      </c>
      <c r="C75" s="60" t="s">
        <v>63</v>
      </c>
      <c r="D75" s="60" t="s">
        <v>28</v>
      </c>
      <c r="E75" s="60" t="s">
        <v>65</v>
      </c>
    </row>
    <row r="76" spans="1:11" ht="22" customHeight="1" x14ac:dyDescent="0.35">
      <c r="A76" s="65">
        <v>1</v>
      </c>
      <c r="B76" s="61" t="s">
        <v>67</v>
      </c>
      <c r="C76" s="68" t="s">
        <v>64</v>
      </c>
      <c r="D76" s="62">
        <v>1425</v>
      </c>
      <c r="E76" s="68" t="s">
        <v>86</v>
      </c>
    </row>
    <row r="77" spans="1:11" ht="22" customHeight="1" x14ac:dyDescent="0.35">
      <c r="A77" s="65">
        <v>2</v>
      </c>
      <c r="B77" s="61" t="s">
        <v>76</v>
      </c>
      <c r="C77" s="68" t="s">
        <v>64</v>
      </c>
      <c r="D77" s="62">
        <v>500</v>
      </c>
      <c r="E77" s="68" t="s">
        <v>85</v>
      </c>
    </row>
    <row r="78" spans="1:11" ht="22" customHeight="1" x14ac:dyDescent="0.35">
      <c r="A78" s="65"/>
      <c r="B78" s="61"/>
      <c r="C78" s="68"/>
      <c r="D78" s="62"/>
      <c r="E78" s="68"/>
    </row>
    <row r="79" spans="1:11" ht="22" customHeight="1" x14ac:dyDescent="0.35">
      <c r="A79" s="65"/>
      <c r="B79" s="61"/>
      <c r="C79" s="68"/>
      <c r="D79" s="62"/>
      <c r="E79" s="68"/>
    </row>
    <row r="80" spans="1:11" ht="22" customHeight="1" x14ac:dyDescent="0.35">
      <c r="A80" s="63"/>
      <c r="B80" s="61"/>
      <c r="C80" s="61"/>
      <c r="D80" s="61"/>
      <c r="E80" s="61"/>
    </row>
    <row r="81" spans="1:5" ht="22" customHeight="1" x14ac:dyDescent="0.35">
      <c r="A81" s="63"/>
      <c r="B81" s="61"/>
      <c r="C81" s="61"/>
      <c r="D81" s="61"/>
      <c r="E81" s="61"/>
    </row>
    <row r="82" spans="1:5" ht="22" customHeight="1" x14ac:dyDescent="0.35">
      <c r="A82" s="63"/>
      <c r="B82" s="61"/>
      <c r="C82" s="61"/>
      <c r="D82" s="61"/>
      <c r="E82" s="61"/>
    </row>
    <row r="84" spans="1:5" ht="22" customHeight="1" x14ac:dyDescent="0.35">
      <c r="A84" s="141" t="s">
        <v>71</v>
      </c>
      <c r="B84" s="141"/>
      <c r="C84" s="141" t="s">
        <v>72</v>
      </c>
      <c r="D84" s="139"/>
      <c r="E84" s="140"/>
    </row>
    <row r="85" spans="1:5" ht="22" customHeight="1" x14ac:dyDescent="0.35">
      <c r="A85" s="67" t="s">
        <v>73</v>
      </c>
      <c r="B85" s="67"/>
      <c r="C85" s="138" t="s">
        <v>73</v>
      </c>
      <c r="D85" s="139"/>
      <c r="E85" s="140"/>
    </row>
    <row r="86" spans="1:5" ht="22" customHeight="1" x14ac:dyDescent="0.35">
      <c r="A86" s="67" t="s">
        <v>74</v>
      </c>
      <c r="B86" s="67"/>
      <c r="C86" s="138" t="s">
        <v>74</v>
      </c>
      <c r="D86" s="139"/>
      <c r="E86" s="140"/>
    </row>
    <row r="87" spans="1:5" ht="22" customHeight="1" x14ac:dyDescent="0.35">
      <c r="A87" s="67" t="s">
        <v>75</v>
      </c>
      <c r="B87" s="67"/>
      <c r="C87" s="138" t="s">
        <v>75</v>
      </c>
      <c r="D87" s="139"/>
      <c r="E87" s="140"/>
    </row>
  </sheetData>
  <mergeCells count="21">
    <mergeCell ref="C85:E85"/>
    <mergeCell ref="C86:E86"/>
    <mergeCell ref="C87:E87"/>
    <mergeCell ref="C53:E53"/>
    <mergeCell ref="C54:E54"/>
    <mergeCell ref="A68:E68"/>
    <mergeCell ref="A70:E70"/>
    <mergeCell ref="A84:B84"/>
    <mergeCell ref="C84:E84"/>
    <mergeCell ref="A35:E35"/>
    <mergeCell ref="A37:E37"/>
    <mergeCell ref="A51:B51"/>
    <mergeCell ref="C51:E51"/>
    <mergeCell ref="C52:E52"/>
    <mergeCell ref="C20:E20"/>
    <mergeCell ref="C21:E21"/>
    <mergeCell ref="A18:B18"/>
    <mergeCell ref="A2:E2"/>
    <mergeCell ref="A4:E4"/>
    <mergeCell ref="C18:E18"/>
    <mergeCell ref="C19:E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Proforma Invoice</vt:lpstr>
      <vt:lpstr>Proforma Invoice 20" Feet</vt:lpstr>
      <vt:lpstr>Sheet1</vt:lpstr>
      <vt:lpstr>Sheet2</vt:lpstr>
      <vt:lpstr>Sheet3</vt:lpstr>
      <vt:lpstr>'Proforma Invoice'!Print_Area</vt:lpstr>
      <vt:lpstr>'Proforma Invoice 20" Feet'!Print_Area</vt:lpstr>
    </vt:vector>
  </TitlesOfParts>
  <Company>Vertex42 LLC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 Forma Invoice Template</dc:title>
  <dc:creator>www.vertex42.com</dc:creator>
  <dc:description>(c) 2011-2014 Vertex42 LLC. All Rights Reserved.</dc:description>
  <cp:lastModifiedBy>cv</cp:lastModifiedBy>
  <cp:lastPrinted>2025-11-28T10:23:06Z</cp:lastPrinted>
  <dcterms:created xsi:type="dcterms:W3CDTF">2004-08-16T18:44:14Z</dcterms:created>
  <dcterms:modified xsi:type="dcterms:W3CDTF">2025-12-10T06:49:15Z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2011-2014 Vertex42 LLC</vt:lpwstr>
  </property>
  <property fmtid="{D5CDD505-2E9C-101B-9397-08002B2CF9AE}" pid="3" name="Version">
    <vt:lpwstr>1.1.0</vt:lpwstr>
  </property>
</Properties>
</file>